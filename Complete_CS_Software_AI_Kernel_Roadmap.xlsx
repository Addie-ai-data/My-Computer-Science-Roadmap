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urriculum Log" sheetId="1" state="visible" r:id="rId1"/>
    <sheet xmlns:r="http://schemas.openxmlformats.org/officeDocument/2006/relationships" name="Roadmap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55" customWidth="1" min="4" max="4"/>
    <col width="15" customWidth="1" min="5" max="5"/>
    <col width="15" customWidth="1" min="6" max="6"/>
    <col width="16" customWidth="1" min="7" max="7"/>
    <col width="30" customWidth="1" min="8" max="8"/>
  </cols>
  <sheetData>
    <row r="1" ht="28" customHeight="1">
      <c r="A1" s="1" t="inlineStr">
        <is>
          <t>Phase</t>
        </is>
      </c>
      <c r="B1" s="1" t="inlineStr">
        <is>
          <t>Module</t>
        </is>
      </c>
      <c r="C1" s="1" t="inlineStr">
        <is>
          <t>Topic / Competency</t>
        </is>
      </c>
      <c r="D1" s="1" t="inlineStr">
        <is>
          <t>Subtopics &amp; Detailed Concepts</t>
        </is>
      </c>
      <c r="E1" s="1" t="inlineStr">
        <is>
          <t>Status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Notes / Projects</t>
        </is>
      </c>
    </row>
    <row r="2">
      <c r="A2" s="2" t="inlineStr">
        <is>
          <t>Phase 1: Full-Stack Web Development</t>
        </is>
      </c>
      <c r="B2" s="3" t="inlineStr">
        <is>
          <t>1.1 Web Fundamentals</t>
        </is>
      </c>
      <c r="C2" s="3" t="inlineStr">
        <is>
          <t>HTML5 Semantics &amp; Structure</t>
        </is>
      </c>
      <c r="D2" s="4" t="inlineStr">
        <is>
          <t>Tags, semantic layout, accessibility (a11y), forms, DOM structure, SEO basics</t>
        </is>
      </c>
      <c r="E2" s="5" t="inlineStr">
        <is>
          <t>Not Started</t>
        </is>
      </c>
      <c r="F2" s="3" t="inlineStr"/>
      <c r="G2" s="3" t="inlineStr"/>
      <c r="H2" s="4" t="inlineStr"/>
    </row>
    <row r="3">
      <c r="A3" s="2" t="inlineStr">
        <is>
          <t>Phase 1: Full-Stack Web Development</t>
        </is>
      </c>
      <c r="B3" s="3" t="inlineStr">
        <is>
          <t>1.1 Web Fundamentals</t>
        </is>
      </c>
      <c r="C3" s="3" t="inlineStr">
        <is>
          <t>CSS3 Layouts &amp; Styling</t>
        </is>
      </c>
      <c r="D3" s="4" t="inlineStr">
        <is>
          <t>Flexbox, CSS Grid, Responsive Design, CSS Variables, Box Model, Animations</t>
        </is>
      </c>
      <c r="E3" s="5" t="inlineStr">
        <is>
          <t>Not Started</t>
        </is>
      </c>
      <c r="F3" s="3" t="inlineStr"/>
      <c r="G3" s="3" t="inlineStr"/>
      <c r="H3" s="4" t="inlineStr"/>
    </row>
    <row r="4">
      <c r="A4" s="2" t="inlineStr">
        <is>
          <t>Phase 1: Full-Stack Web Development</t>
        </is>
      </c>
      <c r="B4" s="3" t="inlineStr">
        <is>
          <t>1.1 Web Fundamentals</t>
        </is>
      </c>
      <c r="C4" s="3" t="inlineStr">
        <is>
          <t>JavaScript Core Mechanics</t>
        </is>
      </c>
      <c r="D4" s="4" t="inlineStr">
        <is>
          <t>Variables, Data Types, Scope, Closures, Execution Context, Hoisting, ES6+ Features</t>
        </is>
      </c>
      <c r="E4" s="5" t="inlineStr">
        <is>
          <t>Not Started</t>
        </is>
      </c>
      <c r="F4" s="3" t="inlineStr"/>
      <c r="G4" s="3" t="inlineStr"/>
      <c r="H4" s="4" t="inlineStr"/>
    </row>
    <row r="5">
      <c r="A5" s="2" t="inlineStr">
        <is>
          <t>Phase 1: Full-Stack Web Development</t>
        </is>
      </c>
      <c r="B5" s="3" t="inlineStr">
        <is>
          <t>1.1 Web Fundamentals</t>
        </is>
      </c>
      <c r="C5" s="3" t="inlineStr">
        <is>
          <t>Asynchronous JavaScript</t>
        </is>
      </c>
      <c r="D5" s="4" t="inlineStr">
        <is>
          <t>Callbacks, Promises, async/await, Event Loop, Microtask Queue, Fetch API, AJAX</t>
        </is>
      </c>
      <c r="E5" s="5" t="inlineStr">
        <is>
          <t>Not Started</t>
        </is>
      </c>
      <c r="F5" s="3" t="inlineStr"/>
      <c r="G5" s="3" t="inlineStr"/>
      <c r="H5" s="4" t="inlineStr"/>
    </row>
    <row r="6">
      <c r="A6" s="2" t="inlineStr">
        <is>
          <t>Phase 1: Full-Stack Web Development</t>
        </is>
      </c>
      <c r="B6" s="3" t="inlineStr">
        <is>
          <t>1.1 Web Fundamentals</t>
        </is>
      </c>
      <c r="C6" s="3" t="inlineStr">
        <is>
          <t>DOM &amp; Browser APIs</t>
        </is>
      </c>
      <c r="D6" s="4" t="inlineStr">
        <is>
          <t>DOM manipulation, Event Bubbling/Capturing, LocalStorage, SessionStorage, Web Workers</t>
        </is>
      </c>
      <c r="E6" s="5" t="inlineStr">
        <is>
          <t>Not Started</t>
        </is>
      </c>
      <c r="F6" s="3" t="inlineStr"/>
      <c r="G6" s="3" t="inlineStr"/>
      <c r="H6" s="4" t="inlineStr"/>
    </row>
    <row r="7">
      <c r="A7" s="2" t="inlineStr">
        <is>
          <t>Phase 1: Full-Stack Web Development</t>
        </is>
      </c>
      <c r="B7" s="3" t="inlineStr">
        <is>
          <t>1.2 React &amp; Next.js</t>
        </is>
      </c>
      <c r="C7" s="3" t="inlineStr">
        <is>
          <t>React Fundamentals</t>
        </is>
      </c>
      <c r="D7" s="4" t="inlineStr">
        <is>
          <t>JSX, Components, Props, State, Hooks (useState, useEffect, useMemo, useCallback), Virtual DOM</t>
        </is>
      </c>
      <c r="E7" s="5" t="inlineStr">
        <is>
          <t>Not Started</t>
        </is>
      </c>
      <c r="F7" s="3" t="inlineStr"/>
      <c r="G7" s="3" t="inlineStr"/>
      <c r="H7" s="4" t="inlineStr"/>
    </row>
    <row r="8">
      <c r="A8" s="2" t="inlineStr">
        <is>
          <t>Phase 1: Full-Stack Web Development</t>
        </is>
      </c>
      <c r="B8" s="3" t="inlineStr">
        <is>
          <t>1.2 React &amp; Next.js</t>
        </is>
      </c>
      <c r="C8" s="3" t="inlineStr">
        <is>
          <t>Next.js Framework</t>
        </is>
      </c>
      <c r="D8" s="4" t="inlineStr">
        <is>
          <t>App Router, Server vs Client Components, SSR, SSG, ISR, API Routes, Hydration</t>
        </is>
      </c>
      <c r="E8" s="5" t="inlineStr">
        <is>
          <t>Not Started</t>
        </is>
      </c>
      <c r="F8" s="3" t="inlineStr"/>
      <c r="G8" s="3" t="inlineStr"/>
      <c r="H8" s="4" t="inlineStr"/>
    </row>
    <row r="9">
      <c r="A9" s="2" t="inlineStr">
        <is>
          <t>Phase 1: Full-Stack Web Development</t>
        </is>
      </c>
      <c r="B9" s="3" t="inlineStr">
        <is>
          <t>1.2 React &amp; Next.js</t>
        </is>
      </c>
      <c r="C9" s="3" t="inlineStr">
        <is>
          <t>State Management &amp; Styling</t>
        </is>
      </c>
      <c r="D9" s="4" t="inlineStr">
        <is>
          <t>Zustand / Redux Toolkit, Tailwind CSS, Component Libraries (Shadcn UI / Radix)</t>
        </is>
      </c>
      <c r="E9" s="5" t="inlineStr">
        <is>
          <t>Not Started</t>
        </is>
      </c>
      <c r="F9" s="3" t="inlineStr"/>
      <c r="G9" s="3" t="inlineStr"/>
      <c r="H9" s="4" t="inlineStr"/>
    </row>
    <row r="10">
      <c r="A10" s="2" t="inlineStr">
        <is>
          <t>Phase 1: Full-Stack Web Development</t>
        </is>
      </c>
      <c r="B10" s="3" t="inlineStr">
        <is>
          <t>1.3 Backend &amp; Databases</t>
        </is>
      </c>
      <c r="C10" s="3" t="inlineStr">
        <is>
          <t>Node.js &amp; Express / Python FastAPI</t>
        </is>
      </c>
      <c r="D10" s="4" t="inlineStr">
        <is>
          <t>RESTful API design, Middleware, Routing, Request/Response handling, Error handling</t>
        </is>
      </c>
      <c r="E10" s="5" t="inlineStr">
        <is>
          <t>Not Started</t>
        </is>
      </c>
      <c r="F10" s="3" t="inlineStr"/>
      <c r="G10" s="3" t="inlineStr"/>
      <c r="H10" s="4" t="inlineStr"/>
    </row>
    <row r="11">
      <c r="A11" s="2" t="inlineStr">
        <is>
          <t>Phase 1: Full-Stack Web Development</t>
        </is>
      </c>
      <c r="B11" s="3" t="inlineStr">
        <is>
          <t>1.3 Backend &amp; Databases</t>
        </is>
      </c>
      <c r="C11" s="3" t="inlineStr">
        <is>
          <t>Relational Databases (PostgreSQL)</t>
        </is>
      </c>
      <c r="D11" s="4" t="inlineStr">
        <is>
          <t>SQL queries, Joins, Indexing, Transactions, ACID properties, ORMs (Prisma / SQLAlchemy)</t>
        </is>
      </c>
      <c r="E11" s="5" t="inlineStr">
        <is>
          <t>Not Started</t>
        </is>
      </c>
      <c r="F11" s="3" t="inlineStr"/>
      <c r="G11" s="3" t="inlineStr"/>
      <c r="H11" s="4" t="inlineStr"/>
    </row>
    <row r="12">
      <c r="A12" s="2" t="inlineStr">
        <is>
          <t>Phase 1: Full-Stack Web Development</t>
        </is>
      </c>
      <c r="B12" s="3" t="inlineStr">
        <is>
          <t>1.3 Backend &amp; Databases</t>
        </is>
      </c>
      <c r="C12" s="3" t="inlineStr">
        <is>
          <t>NoSQL &amp; Caching (Redis/MongoDB)</t>
        </is>
      </c>
      <c r="D12" s="4" t="inlineStr">
        <is>
          <t>Document storage, Key-value caching, Session store, Cache invalidation strategies</t>
        </is>
      </c>
      <c r="E12" s="5" t="inlineStr">
        <is>
          <t>Not Started</t>
        </is>
      </c>
      <c r="F12" s="3" t="inlineStr"/>
      <c r="G12" s="3" t="inlineStr"/>
      <c r="H12" s="4" t="inlineStr"/>
    </row>
    <row r="13">
      <c r="A13" s="2" t="inlineStr">
        <is>
          <t>Phase 1: Full-Stack Web Development</t>
        </is>
      </c>
      <c r="B13" s="3" t="inlineStr">
        <is>
          <t>1.3 Backend &amp; Databases</t>
        </is>
      </c>
      <c r="C13" s="3" t="inlineStr">
        <is>
          <t>Authentication &amp; Security</t>
        </is>
      </c>
      <c r="D13" s="4" t="inlineStr">
        <is>
          <t>JWT, OAuth2, Session cookies, Password hashing (bcrypt), CORS, Rate limiting</t>
        </is>
      </c>
      <c r="E13" s="5" t="inlineStr">
        <is>
          <t>Not Started</t>
        </is>
      </c>
      <c r="F13" s="3" t="inlineStr"/>
      <c r="G13" s="3" t="inlineStr"/>
      <c r="H13" s="4" t="inlineStr"/>
    </row>
    <row r="14">
      <c r="A14" s="2" t="inlineStr">
        <is>
          <t>Phase 1: Full-Stack Web Development</t>
        </is>
      </c>
      <c r="B14" s="3" t="inlineStr">
        <is>
          <t>1.4 DevOps &amp; Tooling</t>
        </is>
      </c>
      <c r="C14" s="3" t="inlineStr">
        <is>
          <t>Git &amp; GitHub</t>
        </is>
      </c>
      <c r="D14" s="4" t="inlineStr">
        <is>
          <t>Branching models, Rebase, Merge conflicts, PR workflows, Git hooks</t>
        </is>
      </c>
      <c r="E14" s="5" t="inlineStr">
        <is>
          <t>Not Started</t>
        </is>
      </c>
      <c r="F14" s="3" t="inlineStr"/>
      <c r="G14" s="3" t="inlineStr"/>
      <c r="H14" s="4" t="inlineStr"/>
    </row>
    <row r="15">
      <c r="A15" s="2" t="inlineStr">
        <is>
          <t>Phase 1: Full-Stack Web Development</t>
        </is>
      </c>
      <c r="B15" s="3" t="inlineStr">
        <is>
          <t>1.4 DevOps &amp; Tooling</t>
        </is>
      </c>
      <c r="C15" s="3" t="inlineStr">
        <is>
          <t>Linux Shell &amp; Terminal</t>
        </is>
      </c>
      <c r="D15" s="4" t="inlineStr">
        <is>
          <t>Bash scripting, File permissions, Process management, SSH, Environment variables</t>
        </is>
      </c>
      <c r="E15" s="5" t="inlineStr">
        <is>
          <t>Not Started</t>
        </is>
      </c>
      <c r="F15" s="3" t="inlineStr"/>
      <c r="G15" s="3" t="inlineStr"/>
      <c r="H15" s="4" t="inlineStr"/>
    </row>
    <row r="16">
      <c r="A16" s="2" t="inlineStr">
        <is>
          <t>Phase 1: Full-Stack Web Development</t>
        </is>
      </c>
      <c r="B16" s="3" t="inlineStr">
        <is>
          <t>1.4 DevOps &amp; Tooling</t>
        </is>
      </c>
      <c r="C16" s="3" t="inlineStr">
        <is>
          <t>Docker &amp; Containerization</t>
        </is>
      </c>
      <c r="D16" s="4" t="inlineStr">
        <is>
          <t>Dockerfiles, Docker Compose, Volumes, Multi-stage builds, Networking basics</t>
        </is>
      </c>
      <c r="E16" s="5" t="inlineStr">
        <is>
          <t>Not Started</t>
        </is>
      </c>
      <c r="F16" s="3" t="inlineStr"/>
      <c r="G16" s="3" t="inlineStr"/>
      <c r="H16" s="4" t="inlineStr"/>
    </row>
    <row r="17">
      <c r="A17" s="2" t="inlineStr">
        <is>
          <t>Phase 2: Low-Level Systems Programming</t>
        </is>
      </c>
      <c r="B17" s="3" t="inlineStr">
        <is>
          <t>2.1 C Language Foundations</t>
        </is>
      </c>
      <c r="C17" s="3" t="inlineStr">
        <is>
          <t>Pointers &amp; Memory Architecture</t>
        </is>
      </c>
      <c r="D17" s="4" t="inlineStr">
        <is>
          <t>Pointer arithmetic, Double pointers, Memory allocation (malloc/calloc/realloc/free), Leaks</t>
        </is>
      </c>
      <c r="E17" s="5" t="inlineStr">
        <is>
          <t>Not Started</t>
        </is>
      </c>
      <c r="F17" s="3" t="inlineStr"/>
      <c r="G17" s="3" t="inlineStr"/>
      <c r="H17" s="4" t="inlineStr"/>
    </row>
    <row r="18">
      <c r="A18" s="2" t="inlineStr">
        <is>
          <t>Phase 2: Low-Level Systems Programming</t>
        </is>
      </c>
      <c r="B18" s="3" t="inlineStr">
        <is>
          <t>2.1 C Language Foundations</t>
        </is>
      </c>
      <c r="C18" s="3" t="inlineStr">
        <is>
          <t>C Data Structures &amp; File I/O</t>
        </is>
      </c>
      <c r="D18" s="4" t="inlineStr">
        <is>
          <t>Structs, Unions, Bitfields, File pointers, Dynamic arrays, Linked lists in raw C</t>
        </is>
      </c>
      <c r="E18" s="5" t="inlineStr">
        <is>
          <t>Not Started</t>
        </is>
      </c>
      <c r="F18" s="3" t="inlineStr"/>
      <c r="G18" s="3" t="inlineStr"/>
      <c r="H18" s="4" t="inlineStr"/>
    </row>
    <row r="19">
      <c r="A19" s="2" t="inlineStr">
        <is>
          <t>Phase 2: Low-Level Systems Programming</t>
        </is>
      </c>
      <c r="B19" s="3" t="inlineStr">
        <is>
          <t>2.1 C Language Foundations</t>
        </is>
      </c>
      <c r="C19" s="3" t="inlineStr">
        <is>
          <t>Compilation Pipeline &amp; Tools</t>
        </is>
      </c>
      <c r="D19" s="4" t="inlineStr">
        <is>
          <t>Preprocessing, Compiling, Assembling, Linking, Makefiles, GCC, GDB, Valgrind</t>
        </is>
      </c>
      <c r="E19" s="5" t="inlineStr">
        <is>
          <t>Not Started</t>
        </is>
      </c>
      <c r="F19" s="3" t="inlineStr"/>
      <c r="G19" s="3" t="inlineStr"/>
      <c r="H19" s="4" t="inlineStr"/>
    </row>
    <row r="20">
      <c r="A20" s="2" t="inlineStr">
        <is>
          <t>Phase 2: Low-Level Systems Programming</t>
        </is>
      </c>
      <c r="B20" s="3" t="inlineStr">
        <is>
          <t>2.2 Object-Oriented C++</t>
        </is>
      </c>
      <c r="C20" s="3" t="inlineStr">
        <is>
          <t>Object-Oriented Programming (C++)</t>
        </is>
      </c>
      <c r="D20" s="4" t="inlineStr">
        <is>
          <t>Classes, Inheritance, Polymorphism, Virtual tables (vtables), Encapsulation</t>
        </is>
      </c>
      <c r="E20" s="5" t="inlineStr">
        <is>
          <t>Not Started</t>
        </is>
      </c>
      <c r="F20" s="3" t="inlineStr"/>
      <c r="G20" s="3" t="inlineStr"/>
      <c r="H20" s="4" t="inlineStr"/>
    </row>
    <row r="21">
      <c r="A21" s="2" t="inlineStr">
        <is>
          <t>Phase 2: Low-Level Systems Programming</t>
        </is>
      </c>
      <c r="B21" s="3" t="inlineStr">
        <is>
          <t>2.2 Object-Oriented C++</t>
        </is>
      </c>
      <c r="C21" s="3" t="inlineStr">
        <is>
          <t>Modern C++ &amp; Memory Safety</t>
        </is>
      </c>
      <c r="D21" s="4" t="inlineStr">
        <is>
          <t>RAII, Smart Pointers (unique_ptr, shared_ptr, weak_ptr), Move Semantics, Rvalue references</t>
        </is>
      </c>
      <c r="E21" s="5" t="inlineStr">
        <is>
          <t>Not Started</t>
        </is>
      </c>
      <c r="F21" s="3" t="inlineStr"/>
      <c r="G21" s="3" t="inlineStr"/>
      <c r="H21" s="4" t="inlineStr"/>
    </row>
    <row r="22">
      <c r="A22" s="2" t="inlineStr">
        <is>
          <t>Phase 2: Low-Level Systems Programming</t>
        </is>
      </c>
      <c r="B22" s="3" t="inlineStr">
        <is>
          <t>2.2 Object-Oriented C++</t>
        </is>
      </c>
      <c r="C22" s="3" t="inlineStr">
        <is>
          <t>Templates &amp; Standard Template Library</t>
        </is>
      </c>
      <c r="D22" s="4" t="inlineStr">
        <is>
          <t>Function/Class Templates, Vectors, Maps, Sets, Iterators, Custom Allocators</t>
        </is>
      </c>
      <c r="E22" s="5" t="inlineStr">
        <is>
          <t>Not Started</t>
        </is>
      </c>
      <c r="F22" s="3" t="inlineStr"/>
      <c r="G22" s="3" t="inlineStr"/>
      <c r="H22" s="4" t="inlineStr"/>
    </row>
    <row r="23">
      <c r="A23" s="2" t="inlineStr">
        <is>
          <t>Phase 2: Low-Level Systems Programming</t>
        </is>
      </c>
      <c r="B23" s="3" t="inlineStr">
        <is>
          <t>2.3 Rust Systems Programming</t>
        </is>
      </c>
      <c r="C23" s="3" t="inlineStr">
        <is>
          <t>Rust Ownership &amp; Borrowing</t>
        </is>
      </c>
      <c r="D23" s="4" t="inlineStr">
        <is>
          <t>Ownership rules, References, Borrow Checker, Lifetimes, Mutable vs Immutable borrows</t>
        </is>
      </c>
      <c r="E23" s="5" t="inlineStr">
        <is>
          <t>Not Started</t>
        </is>
      </c>
      <c r="F23" s="3" t="inlineStr"/>
      <c r="G23" s="3" t="inlineStr"/>
      <c r="H23" s="4" t="inlineStr"/>
    </row>
    <row r="24">
      <c r="A24" s="2" t="inlineStr">
        <is>
          <t>Phase 2: Low-Level Systems Programming</t>
        </is>
      </c>
      <c r="B24" s="3" t="inlineStr">
        <is>
          <t>2.3 Rust Systems Programming</t>
        </is>
      </c>
      <c r="C24" s="3" t="inlineStr">
        <is>
          <t>Rust Type System &amp; Concurrency</t>
        </is>
      </c>
      <c r="D24" s="4" t="inlineStr">
        <is>
          <t>Structs, Enums, Pattern Matching, Option/Result error handling, Threads, Arc, Mutex</t>
        </is>
      </c>
      <c r="E24" s="5" t="inlineStr">
        <is>
          <t>Not Started</t>
        </is>
      </c>
      <c r="F24" s="3" t="inlineStr"/>
      <c r="G24" s="3" t="inlineStr"/>
      <c r="H24" s="4" t="inlineStr"/>
    </row>
    <row r="25">
      <c r="A25" s="2" t="inlineStr">
        <is>
          <t>Phase 2: Low-Level Systems Programming</t>
        </is>
      </c>
      <c r="B25" s="3" t="inlineStr">
        <is>
          <t>2.3 Rust Systems Programming</t>
        </is>
      </c>
      <c r="C25" s="3" t="inlineStr">
        <is>
          <t>Systems &amp; Foreign Function Interfaces</t>
        </is>
      </c>
      <c r="D25" s="4" t="inlineStr">
        <is>
          <t>Cargo, Unsafe Rust, FFI (C-bindings), WebAssembly (Wasm) compilation, Zero-cost abstractions</t>
        </is>
      </c>
      <c r="E25" s="5" t="inlineStr">
        <is>
          <t>Not Started</t>
        </is>
      </c>
      <c r="F25" s="3" t="inlineStr"/>
      <c r="G25" s="3" t="inlineStr"/>
      <c r="H25" s="4" t="inlineStr"/>
    </row>
    <row r="26">
      <c r="A26" s="2" t="inlineStr">
        <is>
          <t>Phase 3: Architecture &amp; System Design</t>
        </is>
      </c>
      <c r="B26" s="3" t="inlineStr">
        <is>
          <t>3.1 Low-Level Design (LLD)</t>
        </is>
      </c>
      <c r="C26" s="3" t="inlineStr">
        <is>
          <t>Design Patterns</t>
        </is>
      </c>
      <c r="D26" s="4" t="inlineStr">
        <is>
          <t>Creational (Factory, Singleton), Structural (Adapter, Decorator), Behavioral (Observer, Strategy)</t>
        </is>
      </c>
      <c r="E26" s="5" t="inlineStr">
        <is>
          <t>Not Started</t>
        </is>
      </c>
      <c r="F26" s="3" t="inlineStr"/>
      <c r="G26" s="3" t="inlineStr"/>
      <c r="H26" s="4" t="inlineStr"/>
    </row>
    <row r="27">
      <c r="A27" s="2" t="inlineStr">
        <is>
          <t>Phase 3: Architecture &amp; System Design</t>
        </is>
      </c>
      <c r="B27" s="3" t="inlineStr">
        <is>
          <t>3.1 Low-Level Design (LLD)</t>
        </is>
      </c>
      <c r="C27" s="3" t="inlineStr">
        <is>
          <t>Object-Oriented Principles</t>
        </is>
      </c>
      <c r="D27" s="4" t="inlineStr">
        <is>
          <t>SOLID principles, Clean Code, Modular design, Interface Segregation</t>
        </is>
      </c>
      <c r="E27" s="5" t="inlineStr">
        <is>
          <t>Not Started</t>
        </is>
      </c>
      <c r="F27" s="3" t="inlineStr"/>
      <c r="G27" s="3" t="inlineStr"/>
      <c r="H27" s="4" t="inlineStr"/>
    </row>
    <row r="28">
      <c r="A28" s="2" t="inlineStr">
        <is>
          <t>Phase 3: Architecture &amp; System Design</t>
        </is>
      </c>
      <c r="B28" s="3" t="inlineStr">
        <is>
          <t>3.1 Low-Level Design (LLD)</t>
        </is>
      </c>
      <c r="C28" s="3" t="inlineStr">
        <is>
          <t>Schema &amp; API Design</t>
        </is>
      </c>
      <c r="D28" s="4" t="inlineStr">
        <is>
          <t>Database normalization, Indexing strategy, OpenAPI/Swagger, gRPC vs REST vs WebSockets</t>
        </is>
      </c>
      <c r="E28" s="5" t="inlineStr">
        <is>
          <t>Not Started</t>
        </is>
      </c>
      <c r="F28" s="3" t="inlineStr"/>
      <c r="G28" s="3" t="inlineStr"/>
      <c r="H28" s="4" t="inlineStr"/>
    </row>
    <row r="29">
      <c r="A29" s="2" t="inlineStr">
        <is>
          <t>Phase 3: Architecture &amp; System Design</t>
        </is>
      </c>
      <c r="B29" s="3" t="inlineStr">
        <is>
          <t>3.2 High-Level Design (HLD)</t>
        </is>
      </c>
      <c r="C29" s="3" t="inlineStr">
        <is>
          <t>Scalability Foundations</t>
        </is>
      </c>
      <c r="D29" s="4" t="inlineStr">
        <is>
          <t>Horizontal vs Vertical scaling, Load Balancers (Layer 4 vs Layer 7), Reverse Proxies (Nginx)</t>
        </is>
      </c>
      <c r="E29" s="5" t="inlineStr">
        <is>
          <t>Not Started</t>
        </is>
      </c>
      <c r="F29" s="3" t="inlineStr"/>
      <c r="G29" s="3" t="inlineStr"/>
      <c r="H29" s="4" t="inlineStr"/>
    </row>
    <row r="30">
      <c r="A30" s="2" t="inlineStr">
        <is>
          <t>Phase 3: Architecture &amp; System Design</t>
        </is>
      </c>
      <c r="B30" s="3" t="inlineStr">
        <is>
          <t>3.2 High-Level Design (HLD)</t>
        </is>
      </c>
      <c r="C30" s="3" t="inlineStr">
        <is>
          <t>Distributed Storage &amp; Data Management</t>
        </is>
      </c>
      <c r="D30" s="4" t="inlineStr">
        <is>
          <t>Sharding, Replication, Consistency Models, CAP Theorem, Eventual Consistency</t>
        </is>
      </c>
      <c r="E30" s="5" t="inlineStr">
        <is>
          <t>Not Started</t>
        </is>
      </c>
      <c r="F30" s="3" t="inlineStr"/>
      <c r="G30" s="3" t="inlineStr"/>
      <c r="H30" s="4" t="inlineStr"/>
    </row>
    <row r="31">
      <c r="A31" s="2" t="inlineStr">
        <is>
          <t>Phase 3: Architecture &amp; System Design</t>
        </is>
      </c>
      <c r="B31" s="3" t="inlineStr">
        <is>
          <t>3.2 High-Level Design (HLD)</t>
        </is>
      </c>
      <c r="C31" s="3" t="inlineStr">
        <is>
          <t>Messaging &amp; Event Architecture</t>
        </is>
      </c>
      <c r="D31" s="4" t="inlineStr">
        <is>
          <t>Pub/Sub, Message Queues (RabbitMQ, Apache Kafka), Event-Driven Architecture, Dead-letter queues</t>
        </is>
      </c>
      <c r="E31" s="5" t="inlineStr">
        <is>
          <t>Not Started</t>
        </is>
      </c>
      <c r="F31" s="3" t="inlineStr"/>
      <c r="G31" s="3" t="inlineStr"/>
      <c r="H31" s="4" t="inlineStr"/>
    </row>
    <row r="32">
      <c r="A32" s="2" t="inlineStr">
        <is>
          <t>Phase 3: Architecture &amp; System Design</t>
        </is>
      </c>
      <c r="B32" s="3" t="inlineStr">
        <is>
          <t>3.2 High-Level Design (HLD)</t>
        </is>
      </c>
      <c r="C32" s="3" t="inlineStr">
        <is>
          <t>Reliability &amp; Observability</t>
        </is>
      </c>
      <c r="D32" s="4" t="inlineStr">
        <is>
          <t>Circuit Breakers, Rate Limiters, Metrics (Prometheus), Distributed Tracing (Jaeger), Logging</t>
        </is>
      </c>
      <c r="E32" s="5" t="inlineStr">
        <is>
          <t>Not Started</t>
        </is>
      </c>
      <c r="F32" s="3" t="inlineStr"/>
      <c r="G32" s="3" t="inlineStr"/>
      <c r="H32" s="4" t="inlineStr"/>
    </row>
    <row r="33">
      <c r="A33" s="2" t="inlineStr">
        <is>
          <t>Phase 4: Applied AI &amp; Machine Learning</t>
        </is>
      </c>
      <c r="B33" s="3" t="inlineStr">
        <is>
          <t>4.1 Mathematics for AI</t>
        </is>
      </c>
      <c r="C33" s="3" t="inlineStr">
        <is>
          <t>Linear Algebra</t>
        </is>
      </c>
      <c r="D33" s="4" t="inlineStr">
        <is>
          <t>Vectors, Matrices, Eigenvalues, Eigenvectors, SVD, Tensor operations, Dot/Cross products</t>
        </is>
      </c>
      <c r="E33" s="5" t="inlineStr">
        <is>
          <t>Not Started</t>
        </is>
      </c>
      <c r="F33" s="3" t="inlineStr"/>
      <c r="G33" s="3" t="inlineStr"/>
      <c r="H33" s="4" t="inlineStr"/>
    </row>
    <row r="34">
      <c r="A34" s="2" t="inlineStr">
        <is>
          <t>Phase 4: Applied AI &amp; Machine Learning</t>
        </is>
      </c>
      <c r="B34" s="3" t="inlineStr">
        <is>
          <t>4.1 Mathematics for AI</t>
        </is>
      </c>
      <c r="C34" s="3" t="inlineStr">
        <is>
          <t>Calculus &amp; Optimization</t>
        </is>
      </c>
      <c r="D34" s="4" t="inlineStr">
        <is>
          <t>Partial derivatives, Gradient Descent, Chain Rule, Hessians, Convex Optimization</t>
        </is>
      </c>
      <c r="E34" s="5" t="inlineStr">
        <is>
          <t>Not Started</t>
        </is>
      </c>
      <c r="F34" s="3" t="inlineStr"/>
      <c r="G34" s="3" t="inlineStr"/>
      <c r="H34" s="4" t="inlineStr"/>
    </row>
    <row r="35">
      <c r="A35" s="2" t="inlineStr">
        <is>
          <t>Phase 4: Applied AI &amp; Machine Learning</t>
        </is>
      </c>
      <c r="B35" s="3" t="inlineStr">
        <is>
          <t>4.1 Mathematics for AI</t>
        </is>
      </c>
      <c r="C35" s="3" t="inlineStr">
        <is>
          <t>Probability &amp; Statistics</t>
        </is>
      </c>
      <c r="D35" s="4" t="inlineStr">
        <is>
          <t>Probability distributions, Bayes Theorem, Expectation, Variance, Maximum Likelihood Estimation</t>
        </is>
      </c>
      <c r="E35" s="5" t="inlineStr">
        <is>
          <t>Not Started</t>
        </is>
      </c>
      <c r="F35" s="3" t="inlineStr"/>
      <c r="G35" s="3" t="inlineStr"/>
      <c r="H35" s="4" t="inlineStr"/>
    </row>
    <row r="36">
      <c r="A36" s="2" t="inlineStr">
        <is>
          <t>Phase 4: Applied AI &amp; Machine Learning</t>
        </is>
      </c>
      <c r="B36" s="3" t="inlineStr">
        <is>
          <t>4.2 Core ML &amp; Deep Learning</t>
        </is>
      </c>
      <c r="C36" s="3" t="inlineStr">
        <is>
          <t>Classical Machine Learning</t>
        </is>
      </c>
      <c r="D36" s="4" t="inlineStr">
        <is>
          <t>Linear/Logistic Regression, Decision Trees, Random Forests, SVMs, Clustering (K-Means)</t>
        </is>
      </c>
      <c r="E36" s="5" t="inlineStr">
        <is>
          <t>Not Started</t>
        </is>
      </c>
      <c r="F36" s="3" t="inlineStr"/>
      <c r="G36" s="3" t="inlineStr"/>
      <c r="H36" s="4" t="inlineStr"/>
    </row>
    <row r="37">
      <c r="A37" s="2" t="inlineStr">
        <is>
          <t>Phase 4: Applied AI &amp; Machine Learning</t>
        </is>
      </c>
      <c r="B37" s="3" t="inlineStr">
        <is>
          <t>4.2 Core ML &amp; Deep Learning</t>
        </is>
      </c>
      <c r="C37" s="3" t="inlineStr">
        <is>
          <t>Neural Networks &amp; PyTorch</t>
        </is>
      </c>
      <c r="D37" s="4" t="inlineStr">
        <is>
          <t>Perceptrons, Activation Functions, Backpropagation, Loss Functions, PyTorch Tensors &amp; Datasets</t>
        </is>
      </c>
      <c r="E37" s="5" t="inlineStr">
        <is>
          <t>Not Started</t>
        </is>
      </c>
      <c r="F37" s="3" t="inlineStr"/>
      <c r="G37" s="3" t="inlineStr"/>
      <c r="H37" s="4" t="inlineStr"/>
    </row>
    <row r="38">
      <c r="A38" s="2" t="inlineStr">
        <is>
          <t>Phase 4: Applied AI &amp; Machine Learning</t>
        </is>
      </c>
      <c r="B38" s="3" t="inlineStr">
        <is>
          <t>4.2 Core ML &amp; Deep Learning</t>
        </is>
      </c>
      <c r="C38" s="3" t="inlineStr">
        <is>
          <t>Transformers &amp; LLMs</t>
        </is>
      </c>
      <c r="D38" s="4" t="inlineStr">
        <is>
          <t>Attention Mechanism, Multi-Head Attention, Transformer Architecture, Tokenization, Embeddings</t>
        </is>
      </c>
      <c r="E38" s="5" t="inlineStr">
        <is>
          <t>Not Started</t>
        </is>
      </c>
      <c r="F38" s="3" t="inlineStr"/>
      <c r="G38" s="3" t="inlineStr"/>
      <c r="H38" s="4" t="inlineStr"/>
    </row>
    <row r="39">
      <c r="A39" s="2" t="inlineStr">
        <is>
          <t>Phase 4: Applied AI &amp; Machine Learning</t>
        </is>
      </c>
      <c r="B39" s="3" t="inlineStr">
        <is>
          <t>4.3 AI Systems &amp; Infrastructure</t>
        </is>
      </c>
      <c r="C39" s="3" t="inlineStr">
        <is>
          <t>RAG &amp; Vector Databases</t>
        </is>
      </c>
      <c r="D39" s="4" t="inlineStr">
        <is>
          <t>Vector Embeddings, Similarity Search (Cosine, Euclidean), Vector DBs (Milvus, Qdrant, Pinecone)</t>
        </is>
      </c>
      <c r="E39" s="5" t="inlineStr">
        <is>
          <t>Not Started</t>
        </is>
      </c>
      <c r="F39" s="3" t="inlineStr"/>
      <c r="G39" s="3" t="inlineStr"/>
      <c r="H39" s="4" t="inlineStr"/>
    </row>
    <row r="40">
      <c r="A40" s="2" t="inlineStr">
        <is>
          <t>Phase 4: Applied AI &amp; Machine Learning</t>
        </is>
      </c>
      <c r="B40" s="3" t="inlineStr">
        <is>
          <t>4.3 AI Systems &amp; Infrastructure</t>
        </is>
      </c>
      <c r="C40" s="3" t="inlineStr">
        <is>
          <t>Model Serving &amp; Inference Engineering</t>
        </is>
      </c>
      <c r="D40" s="4" t="inlineStr">
        <is>
          <t>vLLM, TensorRT, Model Quantization (INT8/GGUF), ONNX Runtime, Batching strategies</t>
        </is>
      </c>
      <c r="E40" s="5" t="inlineStr">
        <is>
          <t>Not Started</t>
        </is>
      </c>
      <c r="F40" s="3" t="inlineStr"/>
      <c r="G40" s="3" t="inlineStr"/>
      <c r="H40" s="4" t="inlineStr"/>
    </row>
    <row r="41">
      <c r="A41" s="2" t="inlineStr">
        <is>
          <t>Phase 5: Competitive Algorithms &amp; Math</t>
        </is>
      </c>
      <c r="B41" s="3" t="inlineStr">
        <is>
          <t>5.1 Advanced Data Structures</t>
        </is>
      </c>
      <c r="C41" s="3" t="inlineStr">
        <is>
          <t>Tree &amp; Graph Structures</t>
        </is>
      </c>
      <c r="D41" s="4" t="inlineStr">
        <is>
          <t>Segment Trees, Fenwick Trees (BIT), Disjoint Set Union (DSU), Heavy-Light Decomposition</t>
        </is>
      </c>
      <c r="E41" s="5" t="inlineStr">
        <is>
          <t>Not Started</t>
        </is>
      </c>
      <c r="F41" s="3" t="inlineStr"/>
      <c r="G41" s="3" t="inlineStr"/>
      <c r="H41" s="4" t="inlineStr"/>
    </row>
    <row r="42">
      <c r="A42" s="2" t="inlineStr">
        <is>
          <t>Phase 5: Competitive Algorithms &amp; Math</t>
        </is>
      </c>
      <c r="B42" s="3" t="inlineStr">
        <is>
          <t>5.1 Advanced Data Structures</t>
        </is>
      </c>
      <c r="C42" s="3" t="inlineStr">
        <is>
          <t>String &amp; Spatial Algorithms</t>
        </is>
      </c>
      <c r="D42" s="4" t="inlineStr">
        <is>
          <t>Tries, Suffix Automata, KMP Algorithm, KD-Trees, HNSW (Hierarchical Navigable Small World)</t>
        </is>
      </c>
      <c r="E42" s="5" t="inlineStr">
        <is>
          <t>Not Started</t>
        </is>
      </c>
      <c r="F42" s="3" t="inlineStr"/>
      <c r="G42" s="3" t="inlineStr"/>
      <c r="H42" s="4" t="inlineStr"/>
    </row>
    <row r="43">
      <c r="A43" s="2" t="inlineStr">
        <is>
          <t>Phase 5: Competitive Algorithms &amp; Math</t>
        </is>
      </c>
      <c r="B43" s="3" t="inlineStr">
        <is>
          <t>5.2 Algorithmic Paradigms</t>
        </is>
      </c>
      <c r="C43" s="3" t="inlineStr">
        <is>
          <t>Advanced Dynamic Programming</t>
        </is>
      </c>
      <c r="D43" s="4" t="inlineStr">
        <is>
          <t>Bitmask DP, DP on Trees, Digit DP, Divide &amp; Conquer Optimization</t>
        </is>
      </c>
      <c r="E43" s="5" t="inlineStr">
        <is>
          <t>Not Started</t>
        </is>
      </c>
      <c r="F43" s="3" t="inlineStr"/>
      <c r="G43" s="3" t="inlineStr"/>
      <c r="H43" s="4" t="inlineStr"/>
    </row>
    <row r="44">
      <c r="A44" s="2" t="inlineStr">
        <is>
          <t>Phase 5: Competitive Algorithms &amp; Math</t>
        </is>
      </c>
      <c r="B44" s="3" t="inlineStr">
        <is>
          <t>5.2 Algorithmic Paradigms</t>
        </is>
      </c>
      <c r="C44" s="3" t="inlineStr">
        <is>
          <t>Graph Algorithms &amp; Flows</t>
        </is>
      </c>
      <c r="D44" s="4" t="inlineStr">
        <is>
          <t>Dijkstra, Bellman-Ford, Tarjan's SCC, Network Flow (Edmonds-Karp, Dinic's Algorithm)</t>
        </is>
      </c>
      <c r="E44" s="5" t="inlineStr">
        <is>
          <t>Not Started</t>
        </is>
      </c>
      <c r="F44" s="3" t="inlineStr"/>
      <c r="G44" s="3" t="inlineStr"/>
      <c r="H44" s="4" t="inlineStr"/>
    </row>
    <row r="45">
      <c r="A45" s="2" t="inlineStr">
        <is>
          <t>Phase 5: Competitive Algorithms &amp; Math</t>
        </is>
      </c>
      <c r="B45" s="3" t="inlineStr">
        <is>
          <t>5.2 Algorithmic Paradigms</t>
        </is>
      </c>
      <c r="C45" s="3" t="inlineStr">
        <is>
          <t>Bitwise Tricks &amp; Low-Level Math</t>
        </is>
      </c>
      <c r="D45" s="4" t="inlineStr">
        <is>
          <t>SIMD optimization, Bitmasking, Fast Exponentiation, Modular Inverse, Combinatorics</t>
        </is>
      </c>
      <c r="E45" s="5" t="inlineStr">
        <is>
          <t>Not Started</t>
        </is>
      </c>
      <c r="F45" s="3" t="inlineStr"/>
      <c r="G45" s="3" t="inlineStr"/>
      <c r="H45" s="4" t="inlineStr"/>
    </row>
    <row r="46">
      <c r="A46" s="2" t="inlineStr">
        <is>
          <t>Phase 6: Cybersecurity &amp; Reverse Engineering</t>
        </is>
      </c>
      <c r="B46" s="3" t="inlineStr">
        <is>
          <t>6.1 Binary Exploitation &amp; Assembly</t>
        </is>
      </c>
      <c r="C46" s="3" t="inlineStr">
        <is>
          <t>x86-64 &amp; ARM Assembly</t>
        </is>
      </c>
      <c r="D46" s="4" t="inlineStr">
        <is>
          <t>Registers, Stack frame, Calling conventions, Assembly instructions, Control flow</t>
        </is>
      </c>
      <c r="E46" s="5" t="inlineStr">
        <is>
          <t>Not Started</t>
        </is>
      </c>
      <c r="F46" s="3" t="inlineStr"/>
      <c r="G46" s="3" t="inlineStr"/>
      <c r="H46" s="4" t="inlineStr"/>
    </row>
    <row r="47">
      <c r="A47" s="2" t="inlineStr">
        <is>
          <t>Phase 6: Cybersecurity &amp; Reverse Engineering</t>
        </is>
      </c>
      <c r="B47" s="3" t="inlineStr">
        <is>
          <t>6.1 Binary Exploitation &amp; Assembly</t>
        </is>
      </c>
      <c r="C47" s="3" t="inlineStr">
        <is>
          <t>Memory Vulnerabilities</t>
        </is>
      </c>
      <c r="D47" s="4" t="inlineStr">
        <is>
          <t>Buffer Overflows, Stack Smashing, Heap Exploitation (Use-After-Free, Double Free)</t>
        </is>
      </c>
      <c r="E47" s="5" t="inlineStr">
        <is>
          <t>Not Started</t>
        </is>
      </c>
      <c r="F47" s="3" t="inlineStr"/>
      <c r="G47" s="3" t="inlineStr"/>
      <c r="H47" s="4" t="inlineStr"/>
    </row>
    <row r="48">
      <c r="A48" s="2" t="inlineStr">
        <is>
          <t>Phase 6: Cybersecurity &amp; Reverse Engineering</t>
        </is>
      </c>
      <c r="B48" s="3" t="inlineStr">
        <is>
          <t>6.1 Binary Exploitation &amp; Assembly</t>
        </is>
      </c>
      <c r="C48" s="3" t="inlineStr">
        <is>
          <t>Exploit Mitigations &amp; Bypasses</t>
        </is>
      </c>
      <c r="D48" s="4" t="inlineStr">
        <is>
          <t>ASLR, NX/DEP, Stack Canaries, ROP (Return-Oriented Programming) Chains, JOP</t>
        </is>
      </c>
      <c r="E48" s="5" t="inlineStr">
        <is>
          <t>Not Started</t>
        </is>
      </c>
      <c r="F48" s="3" t="inlineStr"/>
      <c r="G48" s="3" t="inlineStr"/>
      <c r="H48" s="4" t="inlineStr"/>
    </row>
    <row r="49">
      <c r="A49" s="2" t="inlineStr">
        <is>
          <t>Phase 6: Cybersecurity &amp; Reverse Engineering</t>
        </is>
      </c>
      <c r="B49" s="3" t="inlineStr">
        <is>
          <t>6.2 Reverse Engineering</t>
        </is>
      </c>
      <c r="C49" s="3" t="inlineStr">
        <is>
          <t>Decompilation &amp; Static Analysis</t>
        </is>
      </c>
      <c r="D49" s="4" t="inlineStr">
        <is>
          <t>Ghidra, IDA Pro, Binary Ninja, Reading C code from Assembly, Symbol recovery</t>
        </is>
      </c>
      <c r="E49" s="5" t="inlineStr">
        <is>
          <t>Not Started</t>
        </is>
      </c>
      <c r="F49" s="3" t="inlineStr"/>
      <c r="G49" s="3" t="inlineStr"/>
      <c r="H49" s="4" t="inlineStr"/>
    </row>
    <row r="50">
      <c r="A50" s="2" t="inlineStr">
        <is>
          <t>Phase 6: Cybersecurity &amp; Reverse Engineering</t>
        </is>
      </c>
      <c r="B50" s="3" t="inlineStr">
        <is>
          <t>6.2 Reverse Engineering</t>
        </is>
      </c>
      <c r="C50" s="3" t="inlineStr">
        <is>
          <t>Dynamic Debugging &amp; Analysis</t>
        </is>
      </c>
      <c r="D50" s="4" t="inlineStr">
        <is>
          <t>GDB with PEDA/GEF, x64dbg, WinDbg, Process Injection, Hooking API calls</t>
        </is>
      </c>
      <c r="E50" s="5" t="inlineStr">
        <is>
          <t>Not Started</t>
        </is>
      </c>
      <c r="F50" s="3" t="inlineStr"/>
      <c r="G50" s="3" t="inlineStr"/>
      <c r="H50" s="4" t="inlineStr"/>
    </row>
    <row r="51">
      <c r="A51" s="2" t="inlineStr">
        <is>
          <t>Phase 7: Kernel Internals &amp; Deep CS Research</t>
        </is>
      </c>
      <c r="B51" s="3" t="inlineStr">
        <is>
          <t>7.1 Operating System Internals</t>
        </is>
      </c>
      <c r="C51" s="3" t="inlineStr">
        <is>
          <t>Kernel Architecture Mechanics</t>
        </is>
      </c>
      <c r="D51" s="4" t="inlineStr">
        <is>
          <t>Virtual Memory, Paging, Page Tables, TLB, Ring 0 vs Ring 3 Execution, System Calls</t>
        </is>
      </c>
      <c r="E51" s="5" t="inlineStr">
        <is>
          <t>Not Started</t>
        </is>
      </c>
      <c r="F51" s="3" t="inlineStr"/>
      <c r="G51" s="3" t="inlineStr"/>
      <c r="H51" s="4" t="inlineStr"/>
    </row>
    <row r="52">
      <c r="A52" s="2" t="inlineStr">
        <is>
          <t>Phase 7: Kernel Internals &amp; Deep CS Research</t>
        </is>
      </c>
      <c r="B52" s="3" t="inlineStr">
        <is>
          <t>7.1 Operating System Internals</t>
        </is>
      </c>
      <c r="C52" s="3" t="inlineStr">
        <is>
          <t>Linux Kernel Development</t>
        </is>
      </c>
      <c r="D52" s="4" t="inlineStr">
        <is>
          <t>Writing LKMs (Linux Kernel Modules), eBPF programming, VFS, Kernel Tracing</t>
        </is>
      </c>
      <c r="E52" s="5" t="inlineStr">
        <is>
          <t>Not Started</t>
        </is>
      </c>
      <c r="F52" s="3" t="inlineStr"/>
      <c r="G52" s="3" t="inlineStr"/>
      <c r="H52" s="4" t="inlineStr"/>
    </row>
    <row r="53">
      <c r="A53" s="2" t="inlineStr">
        <is>
          <t>Phase 7: Kernel Internals &amp; Deep CS Research</t>
        </is>
      </c>
      <c r="B53" s="3" t="inlineStr">
        <is>
          <t>7.1 Operating System Internals</t>
        </is>
      </c>
      <c r="C53" s="3" t="inlineStr">
        <is>
          <t>Windows Kernel Internals</t>
        </is>
      </c>
      <c r="D53" s="4" t="inlineStr">
        <is>
          <t>EPROCESS/ETHREAD structures, SSDT Hooking, Windows Drivers (KMDF/UMDF), NTDLL</t>
        </is>
      </c>
      <c r="E53" s="5" t="inlineStr">
        <is>
          <t>Not Started</t>
        </is>
      </c>
      <c r="F53" s="3" t="inlineStr"/>
      <c r="G53" s="3" t="inlineStr"/>
      <c r="H53" s="4" t="inlineStr"/>
    </row>
    <row r="54">
      <c r="A54" s="2" t="inlineStr">
        <is>
          <t>Phase 7: Kernel Internals &amp; Deep CS Research</t>
        </is>
      </c>
      <c r="B54" s="3" t="inlineStr">
        <is>
          <t>7.2 Deep AI Systems Research</t>
        </is>
      </c>
      <c r="C54" s="3" t="inlineStr">
        <is>
          <t>Hardware Acceleration &amp; CUDA</t>
        </is>
      </c>
      <c r="D54" s="4" t="inlineStr">
        <is>
          <t>CUDA C/C++ programming, Writing custom GPU Kernels, Shared Memory, Warp Shuffle, Triton</t>
        </is>
      </c>
      <c r="E54" s="5" t="inlineStr">
        <is>
          <t>Not Started</t>
        </is>
      </c>
      <c r="F54" s="3" t="inlineStr"/>
      <c r="G54" s="3" t="inlineStr"/>
      <c r="H54" s="4" t="inlineStr"/>
    </row>
    <row r="55">
      <c r="A55" s="2" t="inlineStr">
        <is>
          <t>Phase 7: Kernel Internals &amp; Deep CS Research</t>
        </is>
      </c>
      <c r="B55" s="3" t="inlineStr">
        <is>
          <t>7.2 Deep AI Systems Research</t>
        </is>
      </c>
      <c r="C55" s="3" t="inlineStr">
        <is>
          <t>Formal Verification &amp; AI Security</t>
        </is>
      </c>
      <c r="D55" s="4" t="inlineStr">
        <is>
          <t>Adversarial Robustness, Symbolic Execution, Z3 Solver, Formal Proofs (Coq/Lean)</t>
        </is>
      </c>
      <c r="E55" s="5" t="inlineStr">
        <is>
          <t>Not Started</t>
        </is>
      </c>
      <c r="F55" s="3" t="inlineStr"/>
      <c r="G55" s="3" t="inlineStr"/>
      <c r="H55" s="4" t="inlineStr"/>
    </row>
  </sheetData>
  <dataValidations count="1">
    <dataValidation sqref="E2:E55" showDropDown="0" showInputMessage="0" showErrorMessage="0" allowBlank="1" type="list">
      <formula1>"Not Started,In Progress,Completed,On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8" customWidth="1" min="2" max="2"/>
    <col width="40" customWidth="1" min="3" max="3"/>
    <col width="15" customWidth="1" min="4" max="4"/>
    <col width="18" customWidth="1" min="5" max="5"/>
  </cols>
  <sheetData>
    <row r="1" ht="35" customHeight="1">
      <c r="A1" s="6" t="inlineStr">
        <is>
          <t>ULTIMATE FULL-STACK TO KERNEL &amp; AI ARCHITECT ROADMAP</t>
        </is>
      </c>
    </row>
    <row r="3" ht="25" customHeight="1">
      <c r="A3" s="7" t="inlineStr">
        <is>
          <t>Phase Name</t>
        </is>
      </c>
      <c r="B3" s="7" t="inlineStr">
        <is>
          <t>Primary Objective &amp; Domain Focus</t>
        </is>
      </c>
      <c r="C3" s="7" t="inlineStr">
        <is>
          <t>Key Tech Stack &amp; Tools</t>
        </is>
      </c>
      <c r="D3" s="7" t="inlineStr">
        <is>
          <t>Total Topics</t>
        </is>
      </c>
      <c r="E3" s="7" t="inlineStr">
        <is>
          <t>Status Progress</t>
        </is>
      </c>
    </row>
    <row r="4" ht="26" customHeight="1">
      <c r="A4" s="8" t="inlineStr">
        <is>
          <t>Phase 1: Full-Stack Web Development</t>
        </is>
      </c>
      <c r="B4" s="9" t="inlineStr">
        <is>
          <t>Build modern web applications, APIs, databases, and containerized cloud services to secure an engineering job.</t>
        </is>
      </c>
      <c r="C4" s="9" t="inlineStr">
        <is>
          <t>HTML, CSS, JS, Next.js, Node/FastAPI, PostgreSQL, Docker, Git</t>
        </is>
      </c>
      <c r="D4" s="10">
        <f>COUNTIF('Master Curriculum Log'!A:A, "Phase 1: Full-Stack Web Development")</f>
        <v/>
      </c>
      <c r="E4" s="10">
        <f>COUNTIFS('Master Curriculum Log'!A:A, "Phase 1: Full-Stack Web Development", 'Master Curriculum Log'!E:E, "Completed") &amp; " / " &amp; COUNTIF('Master Curriculum Log'!A:A, "Phase 1: Full-Stack Web Development")</f>
        <v/>
      </c>
    </row>
    <row r="5" ht="26" customHeight="1">
      <c r="A5" s="8" t="inlineStr">
        <is>
          <t>Phase 2: Low-Level Systems Programming</t>
        </is>
      </c>
      <c r="B5" s="9" t="inlineStr">
        <is>
          <t>Master manual memory management, CPU mechanics, hardware efficiency, and modern safe systems development.</t>
        </is>
      </c>
      <c r="C5" s="9" t="inlineStr">
        <is>
          <t>C, C++, Rust, GCC/GDB, Make, Valgrind, STL, Cargo</t>
        </is>
      </c>
      <c r="D5" s="10">
        <f>COUNTIF('Master Curriculum Log'!A:A, "Phase 2: Low-Level Systems Programming")</f>
        <v/>
      </c>
      <c r="E5" s="10">
        <f>COUNTIFS('Master Curriculum Log'!A:A, "Phase 2: Low-Level Systems Programming", 'Master Curriculum Log'!E:E, "Completed") &amp; " / " &amp; COUNTIF('Master Curriculum Log'!A:A, "Phase 2: Low-Level Systems Programming")</f>
        <v/>
      </c>
    </row>
    <row r="6" ht="26" customHeight="1">
      <c r="A6" s="8" t="inlineStr">
        <is>
          <t>Phase 3: Architecture &amp; System Design</t>
        </is>
      </c>
      <c r="B6" s="9" t="inlineStr">
        <is>
          <t>Transition from writing code to designing scalable, resilient distributed systems and clean modular codebases.</t>
        </is>
      </c>
      <c r="C6" s="9" t="inlineStr">
        <is>
          <t>LLD, HLD, SOLID, Microservices, Kafka, Redis, Load Balancers</t>
        </is>
      </c>
      <c r="D6" s="10">
        <f>COUNTIF('Master Curriculum Log'!A:A, "Phase 3: Architecture &amp; System Design")</f>
        <v/>
      </c>
      <c r="E6" s="10">
        <f>COUNTIFS('Master Curriculum Log'!A:A, "Phase 3: Architecture &amp; System Design", 'Master Curriculum Log'!E:E, "Completed") &amp; " / " &amp; COUNTIF('Master Curriculum Log'!A:A, "Phase 3: Architecture &amp; System Design")</f>
        <v/>
      </c>
    </row>
    <row r="7" ht="26" customHeight="1">
      <c r="A7" s="8" t="inlineStr">
        <is>
          <t>Phase 4: Applied AI &amp; Machine Learning</t>
        </is>
      </c>
      <c r="B7" s="9" t="inlineStr">
        <is>
          <t>Develop deep mathematical foundations, train neural networks, and deploy high-throughput AI pipelines.</t>
        </is>
      </c>
      <c r="C7" s="9" t="inlineStr">
        <is>
          <t>Linear Algebra, PyTorch, Transformers, vLLM, RAG, TensorRT</t>
        </is>
      </c>
      <c r="D7" s="10">
        <f>COUNTIF('Master Curriculum Log'!A:A, "Phase 4: Applied AI &amp; Machine Learning")</f>
        <v/>
      </c>
      <c r="E7" s="10">
        <f>COUNTIFS('Master Curriculum Log'!A:A, "Phase 4: Applied AI &amp; Machine Learning", 'Master Curriculum Log'!E:E, "Completed") &amp; " / " &amp; COUNTIF('Master Curriculum Log'!A:A, "Phase 4: Applied AI &amp; Machine Learning")</f>
        <v/>
      </c>
    </row>
    <row r="8" ht="26" customHeight="1">
      <c r="A8" s="8" t="inlineStr">
        <is>
          <t>Phase 5: Competitive Algorithms &amp; Math</t>
        </is>
      </c>
      <c r="B8" s="9" t="inlineStr">
        <is>
          <t>Master competitive algorithmic thinking, custom data structures, and mathematical optimization for novel AI systems.</t>
        </is>
      </c>
      <c r="C8" s="9" t="inlineStr">
        <is>
          <t>Segment Trees, Graphs, DP, Fenwick Trees, SIMD, Optimization</t>
        </is>
      </c>
      <c r="D8" s="10">
        <f>COUNTIF('Master Curriculum Log'!A:A, "Phase 5: Competitive Algorithms &amp; Math")</f>
        <v/>
      </c>
      <c r="E8" s="10">
        <f>COUNTIFS('Master Curriculum Log'!A:A, "Phase 5: Competitive Algorithms &amp; Math", 'Master Curriculum Log'!E:E, "Completed") &amp; " / " &amp; COUNTIF('Master Curriculum Log'!A:A, "Phase 5: Competitive Algorithms &amp; Math")</f>
        <v/>
      </c>
    </row>
    <row r="9" ht="26" customHeight="1">
      <c r="A9" s="8" t="inlineStr">
        <is>
          <t>Phase 6: Cybersecurity &amp; Reverse Engineering</t>
        </is>
      </c>
      <c r="B9" s="9" t="inlineStr">
        <is>
          <t>Understand system security, memory vulnerabilities, binary reverse engineering, and exploit mitigations.</t>
        </is>
      </c>
      <c r="C9" s="9" t="inlineStr">
        <is>
          <t>x86-64 Assembly, Ghidra, IDA Pro, GDB, ROP, Heap Exploitation</t>
        </is>
      </c>
      <c r="D9" s="10">
        <f>COUNTIF('Master Curriculum Log'!A:A, "Phase 6: Cybersecurity &amp; Reverse Engineering")</f>
        <v/>
      </c>
      <c r="E9" s="10">
        <f>COUNTIFS('Master Curriculum Log'!A:A, "Phase 6: Cybersecurity &amp; Reverse Engineering", 'Master Curriculum Log'!E:E, "Completed") &amp; " / " &amp; COUNTIF('Master Curriculum Log'!A:A, "Phase 6: Cybersecurity &amp; Reverse Engineering")</f>
        <v/>
      </c>
    </row>
    <row r="10" ht="26" customHeight="1">
      <c r="A10" s="8" t="inlineStr">
        <is>
          <t>Phase 7: Kernel Internals &amp; Deep CS Research</t>
        </is>
      </c>
      <c r="B10" s="9" t="inlineStr">
        <is>
          <t>Explore the bottom of the computer science rabbit hole: OS kernels, drivers, custom GPU kernels, and AI security.</t>
        </is>
      </c>
      <c r="C10" s="9" t="inlineStr">
        <is>
          <t>Linux Kernel (LKM), eBPF, Windows Internals, CUDA C++, Formal Verification</t>
        </is>
      </c>
      <c r="D10" s="10">
        <f>COUNTIF('Master Curriculum Log'!A:A, "Phase 7: Kernel Internals &amp; Deep CS Research")</f>
        <v/>
      </c>
      <c r="E10" s="10">
        <f>COUNTIFS('Master Curriculum Log'!A:A, "Phase 7: Kernel Internals &amp; Deep CS Research", 'Master Curriculum Log'!E:E, "Completed") &amp; " / " &amp; COUNTIF('Master Curriculum Log'!A:A, "Phase 7: Kernel Internals &amp; Deep CS Research")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2026-10-07T16:57:15Z</dcterms:created>
  <dcterms:modified xmlns:dcterms="http://purl.org/dc/terms/" xmlns:xsi="http://www.w3.org/2001/XMLSchema-instance" xsi:type="dcterms:W3CDTF">2026-10-07T16:57:15Z</dcterms:modified>
</cp:coreProperties>
</file>