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Test Matrix" sheetId="1" state="visible" r:id="rId1"/>
    <sheet xmlns:r="http://schemas.openxmlformats.org/officeDocument/2006/relationships" name="Verification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5" customWidth="1" min="3" max="3"/>
    <col width="50" customWidth="1" min="4" max="4"/>
    <col width="48" customWidth="1" min="5" max="5"/>
    <col width="40" customWidth="1" min="6" max="6"/>
    <col width="15" customWidth="1" min="7" max="7"/>
    <col width="15" customWidth="1" min="8" max="8"/>
    <col width="30" customWidth="1" min="9" max="9"/>
  </cols>
  <sheetData>
    <row r="1" ht="28" customHeight="1">
      <c r="A1" s="1" t="inlineStr">
        <is>
          <t>Phase</t>
        </is>
      </c>
      <c r="B1" s="1" t="inlineStr">
        <is>
          <t>Capstone Test Project</t>
        </is>
      </c>
      <c r="C1" s="1" t="inlineStr">
        <is>
          <t>Project Objective &amp; Scope</t>
        </is>
      </c>
      <c r="D1" s="1" t="inlineStr">
        <is>
          <t>Key Mechanics &amp; Engineering Tested</t>
        </is>
      </c>
      <c r="E1" s="1" t="inlineStr">
        <is>
          <t>Pass / Validation Criteria</t>
        </is>
      </c>
      <c r="F1" s="1" t="inlineStr">
        <is>
          <t>Strict Constraints (No Shortcuts)</t>
        </is>
      </c>
      <c r="G1" s="1" t="inlineStr">
        <is>
          <t>Test Status</t>
        </is>
      </c>
      <c r="H1" s="1" t="inlineStr">
        <is>
          <t>Execution Date</t>
        </is>
      </c>
      <c r="I1" s="1" t="inlineStr">
        <is>
          <t>Performance Metrics / Notes</t>
        </is>
      </c>
    </row>
    <row r="2">
      <c r="A2" s="2" t="inlineStr">
        <is>
          <t>Phase 1: Full-Stack Web Development</t>
        </is>
      </c>
      <c r="B2" s="3" t="inlineStr">
        <is>
          <t>Real-Time Collaborative Code / Markdown Editor</t>
        </is>
      </c>
      <c r="C2" s="4" t="inlineStr">
        <is>
          <t>Build a collaborative editor with real-time cursor tracking, document history, and instant preview.</t>
        </is>
      </c>
      <c r="D2" s="4" t="inlineStr">
        <is>
          <t>State synchronization (WebSockets / SSE), optimistic UI updates, PostgreSQL document persistence, JWT/OAuth2 authentication, Docker containerization.</t>
        </is>
      </c>
      <c r="E2" s="4" t="inlineStr">
        <is>
          <t>Simulate 50 concurrent WebSocket connections; verify sub-50ms sync latency and zero document corruption on conflicting edits.</t>
        </is>
      </c>
      <c r="F2" s="4" t="inlineStr">
        <is>
          <t>No framework-in-a-box starters (build raw WebSocket handlers and custom auth middleware).</t>
        </is>
      </c>
      <c r="G2" s="5" t="inlineStr">
        <is>
          <t>Not Passed</t>
        </is>
      </c>
      <c r="H2" s="6" t="inlineStr"/>
      <c r="I2" s="4" t="inlineStr"/>
    </row>
    <row r="3">
      <c r="A3" s="2" t="inlineStr">
        <is>
          <t>Phase 2: Low-Level Systems Programming</t>
        </is>
      </c>
      <c r="B3" s="3" t="inlineStr">
        <is>
          <t>Custom Memory Allocator (C) &amp; Non-Blocking Async Event Loop (Rust)</t>
        </is>
      </c>
      <c r="C3" s="4" t="inlineStr">
        <is>
          <t>Implement custom malloc/free/realloc in C, and a light epoll/kqueue async event loop in Rust without third-party runtimes.</t>
        </is>
      </c>
      <c r="D3" s="4" t="inlineStr">
        <is>
          <t>sbrk/mmap system calls, heap fragmentation management, memory alignment, non-blocking sockets, epoll/kqueue, Rust ownership &amp; lifetimes without unsafe leaks.</t>
        </is>
      </c>
      <c r="E3" s="4" t="inlineStr">
        <is>
          <t>Run Valgrind memcheck to ensure zero memory leaks; compare alloc/free throughput against standard glibc malloc under 1M allocations.</t>
        </is>
      </c>
      <c r="F3" s="4" t="inlineStr">
        <is>
          <t>Zero third-party dependencies or external runtimes (no Tokio for Rust, no standard malloc wrapper for C).</t>
        </is>
      </c>
      <c r="G3" s="5" t="inlineStr">
        <is>
          <t>Not Passed</t>
        </is>
      </c>
      <c r="H3" s="6" t="inlineStr"/>
      <c r="I3" s="4" t="inlineStr"/>
    </row>
    <row r="4">
      <c r="A4" s="2" t="inlineStr">
        <is>
          <t>Phase 3: Architecture &amp; System Design</t>
        </is>
      </c>
      <c r="B4" s="3" t="inlineStr">
        <is>
          <t>Distributed Rate Limiter &amp; Event-Driven Message Broker</t>
        </is>
      </c>
      <c r="C4" s="4" t="inlineStr">
        <is>
          <t>Build a multi-node distributed token-bucket rate limiter and a pub/sub message broker with dead-letter queues.</t>
        </is>
      </c>
      <c r="D4" s="4" t="inlineStr">
        <is>
          <t>Distributed locking, Redis sliding window/token bucket algorithms, pub/sub queues, dead-letter re-routing, WAL (write-ahead log) persistence, gRPC interface.</t>
        </is>
      </c>
      <c r="E4" s="4" t="inlineStr">
        <is>
          <t>Subject the rate limiter to a 10,000 req/sec benchmark; verify exact request dropping thresholds and zero message loss under node crashes.</t>
        </is>
      </c>
      <c r="F4" s="4" t="inlineStr">
        <is>
          <t>Must run as containerized microservices with cluster replication.</t>
        </is>
      </c>
      <c r="G4" s="5" t="inlineStr">
        <is>
          <t>Not Passed</t>
        </is>
      </c>
      <c r="H4" s="6" t="inlineStr"/>
      <c r="I4" s="4" t="inlineStr"/>
    </row>
    <row r="5">
      <c r="A5" s="2" t="inlineStr">
        <is>
          <t>Phase 4: Applied AI &amp; Machine Learning Infrastructure</t>
        </is>
      </c>
      <c r="B5" s="3" t="inlineStr">
        <is>
          <t>Custom RAG Engine &amp; Model Serving Pipeline</t>
        </is>
      </c>
      <c r="C5" s="4" t="inlineStr">
        <is>
          <t>Fine-tune an open-source LLM, build custom document chunking/embeddings, and deploy a high-throughput streaming inference server.</t>
        </is>
      </c>
      <c r="D5" s="4" t="inlineStr">
        <is>
          <t>PyTorch model fine-tuning, vector embeddings, cosine similarity search, custom chunking algorithms, INT8/GGUF quantization, streaming vLLM/TensorRT endpoints.</t>
        </is>
      </c>
      <c r="E5" s="4" t="inlineStr">
        <is>
          <t>Measure token generation throughput (tokens/sec) and latency-to-first-token (TTFT) under batch queries; achieve &gt;30 tokens/sec on target hardware.</t>
        </is>
      </c>
      <c r="F5" s="4" t="inlineStr">
        <is>
          <t>Build the RAG retrieval pipeline without high-level wrappers like LangChain/LlamaIndex.</t>
        </is>
      </c>
      <c r="G5" s="5" t="inlineStr">
        <is>
          <t>Not Passed</t>
        </is>
      </c>
      <c r="H5" s="6" t="inlineStr"/>
      <c r="I5" s="4" t="inlineStr"/>
    </row>
    <row r="6">
      <c r="A6" s="2" t="inlineStr">
        <is>
          <t>Phase 5: Competitive Algorithms &amp; Advanced Math</t>
        </is>
      </c>
      <c r="B6" s="3" t="inlineStr">
        <is>
          <t>Hierarchical Navigable Small World (HNSW) Vector Index</t>
        </is>
      </c>
      <c r="C6" s="4" t="inlineStr">
        <is>
          <t>Implement an HNSW graph structure from scratch in C++ for fast approximate nearest neighbor (ANN) search over high-dimensional vectors.</t>
        </is>
      </c>
      <c r="D6" s="4" t="inlineStr">
        <is>
          <t>Multi-layer graph construction, skip-list principles, Euclidean/Cosine distance metrics, SIMD bitwise/vectorized operations, dynamic graph pruning.</t>
        </is>
      </c>
      <c r="E6" s="4" t="inlineStr">
        <is>
          <t>Benchmark query recall@K vs brute-force k-NN search across 100,000 128-dimensional vectors; verify logarithmic search time complexity.</t>
        </is>
      </c>
      <c r="F6" s="4" t="inlineStr">
        <is>
          <t>Must be implemented entirely in raw C++ using standard libraries only.</t>
        </is>
      </c>
      <c r="G6" s="5" t="inlineStr">
        <is>
          <t>Not Passed</t>
        </is>
      </c>
      <c r="H6" s="6" t="inlineStr"/>
      <c r="I6" s="4" t="inlineStr"/>
    </row>
    <row r="7">
      <c r="A7" s="2" t="inlineStr">
        <is>
          <t>Phase 6: Reverse Engineering &amp; Cybersecurity</t>
        </is>
      </c>
      <c r="B7" s="3" t="inlineStr">
        <is>
          <t>Crackme Binary Challenge &amp; ROP Chain Exploit Payload</t>
        </is>
      </c>
      <c r="C7" s="4" t="inlineStr">
        <is>
          <t>Write a protected C binary with anti-debugging techniques, reverse engineer it in Ghidra, and craft an automated ROP exploitation script.</t>
        </is>
      </c>
      <c r="D7" s="4" t="inlineStr">
        <is>
          <t>x86-64 assembly, stack/heap layout, Ghidra decompilation, anti-debugging detection, stack canary bypassing, ROP (Return-Oriented Programming) chains, pwntools.</t>
        </is>
      </c>
      <c r="E7" s="4" t="inlineStr">
        <is>
          <t>Successfully achieve Ring 3 arbitrary shell execution (`/bin/sh`) on a compiled binary with ASLR and DEP enabled.</t>
        </is>
      </c>
      <c r="F7" s="4" t="inlineStr">
        <is>
          <t>Exploit script must be fully automated via Python `pwntools`.</t>
        </is>
      </c>
      <c r="G7" s="5" t="inlineStr">
        <is>
          <t>Not Passed</t>
        </is>
      </c>
      <c r="H7" s="6" t="inlineStr"/>
      <c r="I7" s="4" t="inlineStr"/>
    </row>
    <row r="8">
      <c r="A8" s="2" t="inlineStr">
        <is>
          <t>Phase 7: OS Kernel Internals &amp; Deep CS Research</t>
        </is>
      </c>
      <c r="B8" s="3" t="inlineStr">
        <is>
          <t>Linux Kernel Module (LKM) &amp; Custom CUDA MatMul Kernel</t>
        </is>
      </c>
      <c r="C8" s="4" t="inlineStr">
        <is>
          <t>Develop a custom LKM for system monitoring and write an optimized matrix multiplication CUDA kernel competing with cuBLAS.</t>
        </is>
      </c>
      <c r="D8" s="4" t="inlineStr">
        <is>
          <t>Linux kernel syscall hooking (`sys_execve`), eBPF probes, ring 0 execution, CUDA C/C++ grid/block hierarchy, shared memory tiling, warp shuffle instructions.</t>
        </is>
      </c>
      <c r="E8" s="4" t="inlineStr">
        <is>
          <t>Benchmark CUDA kernel TFLOPS performance against cuBLAS on a target GPU; reach at least 80% of cuBLAS compute throughput.</t>
        </is>
      </c>
      <c r="F8" s="4" t="inlineStr">
        <is>
          <t>Kernel module must load/unload without kernel panic or ring 0 memory leaks.</t>
        </is>
      </c>
      <c r="G8" s="5" t="inlineStr">
        <is>
          <t>Not Passed</t>
        </is>
      </c>
      <c r="H8" s="6" t="inlineStr"/>
      <c r="I8" s="4" t="inlineStr"/>
    </row>
    <row r="9">
      <c r="A9" s="2" t="inlineStr">
        <is>
          <t>Phase 8: Hardware, Silicon &amp; Chip Design (ASIC/FPGA)</t>
        </is>
      </c>
      <c r="B9" s="3" t="inlineStr">
        <is>
          <t>5-Stage Pipelined 32-Bit RISC-V CPU Core in Verilog</t>
        </is>
      </c>
      <c r="C9" s="4" t="inlineStr">
        <is>
          <t>Design and simulate a complete 5-stage pipelined RISC-V (RV32I) processor core with hazard resolution.</t>
        </is>
      </c>
      <c r="D9" s="4" t="inlineStr">
        <is>
          <t>Verilog/SystemVerilog, Instruction Fetch/Decode/Execute/Memory/Writeback stages, hazard detection, data forwarding, branch prediction, Verilator simulation.</t>
        </is>
      </c>
      <c r="E9" s="4" t="inlineStr">
        <is>
          <t>Synthesize the design in Vivado or Verilator; execute compiled C programs translated to RV32I machine code and verify correct register state.</t>
        </is>
      </c>
      <c r="F9" s="4" t="inlineStr">
        <is>
          <t>Must correctly handle structural, data, and control hazards without execution stalls where possible.</t>
        </is>
      </c>
      <c r="G9" s="5" t="inlineStr">
        <is>
          <t>Not Passed</t>
        </is>
      </c>
      <c r="H9" s="6" t="inlineStr"/>
      <c r="I9" s="4" t="inlineStr"/>
    </row>
    <row r="10">
      <c r="A10" s="2" t="inlineStr">
        <is>
          <t>Phase 9: Quantum Computing &amp; Quantum Information</t>
        </is>
      </c>
      <c r="B10" s="3" t="inlineStr">
        <is>
          <t>Variational Quantum Eigensolver (VQE) for Molecular Energy</t>
        </is>
      </c>
      <c r="C10" s="4" t="inlineStr">
        <is>
          <t>Program a VQE algorithm to calculate the ground-state energy of a hydrogen molecule ($H_2$) on a noisy quantum simulator.</t>
        </is>
      </c>
      <c r="D10" s="4" t="inlineStr">
        <is>
          <t>Qiskit / PennyLane, Parameterized Quantum Circuits (Ansatz), Jordan-Wigner transformation, Pauli Hamiltonian mapping, quantum noise models.</t>
        </is>
      </c>
      <c r="E10" s="4" t="inlineStr">
        <is>
          <t>Compare VQE ground-state energy convergence against exact full configuration interaction (FCI) classical calculations within 1.6 milli-Hartree accuracy.</t>
        </is>
      </c>
      <c r="F10" s="4" t="inlineStr">
        <is>
          <t>Must include realistic decoherence and readout error models.</t>
        </is>
      </c>
      <c r="G10" s="5" t="inlineStr">
        <is>
          <t>Not Passed</t>
        </is>
      </c>
      <c r="H10" s="6" t="inlineStr"/>
      <c r="I10" s="4" t="inlineStr"/>
    </row>
    <row r="11">
      <c r="A11" s="2" t="inlineStr">
        <is>
          <t>Phase 10: Robotics, Embodied AI &amp; Physical Control</t>
        </is>
      </c>
      <c r="B11" s="3" t="inlineStr">
        <is>
          <t>Autonomous Navigation &amp; Visual SLAM System in ROS 2</t>
        </is>
      </c>
      <c r="C11" s="4" t="inlineStr">
        <is>
          <t>Build a simulated mobile robot equipped with LiDAR and RGB-D cameras that maps an unknown environment and navigates autonomously.</t>
        </is>
      </c>
      <c r="D11" s="4" t="inlineStr">
        <is>
          <t>ROS 2 nodes/services/actions, URDF kinematics model, Visual-Inertial SLAM (ORB-SLAM3 / Cartographer), Model Predictive Control (MPC), Gazebo/Isaac Sim.</t>
        </is>
      </c>
      <c r="E11" s="4" t="inlineStr">
        <is>
          <t>Verify zero collisions during autonomous path planning across a complex indoor maze environment with dynamic obstacles.</t>
        </is>
      </c>
      <c r="F11" s="4" t="inlineStr">
        <is>
          <t>Sim-to-real locomotion policies must maintain balance under external disturbance forces.</t>
        </is>
      </c>
      <c r="G11" s="5" t="inlineStr">
        <is>
          <t>Not Passed</t>
        </is>
      </c>
      <c r="H11" s="6" t="inlineStr"/>
      <c r="I11" s="4" t="inlineStr"/>
    </row>
    <row r="12">
      <c r="A12" s="2" t="inlineStr">
        <is>
          <t>Phase 11: Bio-Informatics, BCIs &amp; Bio-Computing</t>
        </is>
      </c>
      <c r="B12" s="3" t="inlineStr">
        <is>
          <t>EEG Motor Imagery Signal Classifier &amp; DNA Sequence Aligner</t>
        </is>
      </c>
      <c r="C12" s="4" t="inlineStr">
        <is>
          <t>Process raw multi-channel brain EEG data to classify movement intent, and write a parallel Smith-Waterman sequence aligner in Rust.</t>
        </is>
      </c>
      <c r="D12" s="4" t="inlineStr">
        <is>
          <t>Bandpass filtering, Fast Fourier Transform (FFT), Common Spatial Patterns (CSP), Brain-Computer Interface (BCI) classification, Smith-Waterman local alignment.</t>
        </is>
      </c>
      <c r="E12" s="4" t="inlineStr">
        <is>
          <t>Achieve &gt;85% classification accuracy on motor imagery EEG datasets; benchmark DNA sequence alignment speed against standard BLAST outputs.</t>
        </is>
      </c>
      <c r="F12" s="4" t="inlineStr">
        <is>
          <t>Processing pipeline must execute in real time (&lt;20ms latency per EEG frame).</t>
        </is>
      </c>
      <c r="G12" s="5" t="inlineStr">
        <is>
          <t>Not Passed</t>
        </is>
      </c>
      <c r="H12" s="6" t="inlineStr"/>
      <c r="I12" s="4" t="inlineStr"/>
    </row>
    <row r="13">
      <c r="A13" s="2" t="inlineStr">
        <is>
          <t>Phase 12: Advanced Cryptography &amp; Post-Quantum</t>
        </is>
      </c>
      <c r="B13" s="3" t="inlineStr">
        <is>
          <t>Zero-Knowledge Proof (zk-SNARK) Circuit &amp; Kyber PQC Implementation</t>
        </is>
      </c>
      <c r="C13" s="4" t="inlineStr">
        <is>
          <t>Design a ZK circuit that proves knowledge of a hash pre-image without revealing it, and implement CRYSTALS-Kyber key exchange.</t>
        </is>
      </c>
      <c r="D13" s="4" t="inlineStr">
        <is>
          <t>Circom / Noir ZK circuits, R1CS constraint systems, Groth16 / Plonk proving schemes, Lattice-based learning with errors (LWE), CRYSTALS-Kyber (ML-KEM).</t>
        </is>
      </c>
      <c r="E13" s="4" t="inlineStr">
        <is>
          <t>Generate and verify zk-SNARK proofs on-chain or locally in &lt;100ms; prove lattice-based quantum resistance against known reduction attacks.</t>
        </is>
      </c>
      <c r="F13" s="4" t="inlineStr">
        <is>
          <t>Zero information leak regarding secret inputs in the generated proof payload.</t>
        </is>
      </c>
      <c r="G13" s="5" t="inlineStr">
        <is>
          <t>Not Passed</t>
        </is>
      </c>
      <c r="H13" s="6" t="inlineStr"/>
      <c r="I13" s="4" t="inlineStr"/>
    </row>
    <row r="14">
      <c r="A14" s="2" t="inlineStr">
        <is>
          <t>Phase 13: Theoretical CS &amp; Formal Verification</t>
        </is>
      </c>
      <c r="B14" s="3" t="inlineStr">
        <is>
          <t>Formally Verified Sorting or Graph Algorithm in Lean 4</t>
        </is>
      </c>
      <c r="C14" s="4" t="inlineStr">
        <is>
          <t>Implement a non-trivial algorithm (e.g., Mergesort or Dijkstra's) in Lean 4 / Coq and mathematically prove its correctness and termination.</t>
        </is>
      </c>
      <c r="D14" s="4" t="inlineStr">
        <is>
          <t>Lean 4 / Coq interactive theorem proving, inductive types, loop invariants, structural recursion proofs, termination metrics, formal verification.</t>
        </is>
      </c>
      <c r="E14" s="4" t="inlineStr">
        <is>
          <t>Pass the Lean 4 / Coq kernel proof checker with zero unproved `sorry` axioms or hypotheses.</t>
        </is>
      </c>
      <c r="F14" s="4" t="inlineStr">
        <is>
          <t>Must provide full mathematical proofs for both safety (correctness) and liveness (termination).</t>
        </is>
      </c>
      <c r="G14" s="5" t="inlineStr">
        <is>
          <t>Not Passed</t>
        </is>
      </c>
      <c r="H14" s="6" t="inlineStr"/>
      <c r="I14" s="4" t="inlineStr"/>
    </row>
  </sheetData>
  <dataValidations count="1">
    <dataValidation sqref="G2:G14" showDropDown="0" showInputMessage="0" showErrorMessage="0" allowBlank="1" type="list">
      <formula1>"Not Passed,In Progress,Passed,On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  <col width="18" customWidth="1" min="4" max="4"/>
    <col width="20" customWidth="1" min="5" max="5"/>
  </cols>
  <sheetData>
    <row r="1" ht="35" customHeight="1">
      <c r="A1" s="7" t="inlineStr">
        <is>
          <t>CAPSTONE PRACTICAL TEST VERIFICATION MATRIX (PHASES 1 - 13)</t>
        </is>
      </c>
    </row>
    <row r="3" ht="25" customHeight="1">
      <c r="A3" s="8" t="inlineStr">
        <is>
          <t>Phase Name</t>
        </is>
      </c>
      <c r="B3" s="8" t="inlineStr">
        <is>
          <t>Required Capstone Project</t>
        </is>
      </c>
      <c r="C3" s="8" t="inlineStr">
        <is>
          <t>Primary Domain Verified</t>
        </is>
      </c>
      <c r="D3" s="8" t="inlineStr">
        <is>
          <t>Total Capstone Tests</t>
        </is>
      </c>
      <c r="E3" s="8" t="inlineStr">
        <is>
          <t>Verification Status</t>
        </is>
      </c>
    </row>
    <row r="4" ht="26" customHeight="1">
      <c r="A4" s="9" t="inlineStr">
        <is>
          <t>Phase 1: Full-Stack Web Development</t>
        </is>
      </c>
      <c r="B4" s="10" t="inlineStr">
        <is>
          <t>Real-Time Collaborative Code Editor</t>
        </is>
      </c>
      <c r="C4" s="10" t="inlineStr">
        <is>
          <t>Web Core, WebSockets, Databases, Auth, Docker</t>
        </is>
      </c>
      <c r="D4" s="11">
        <f>COUNTIF('Practical Test Matrix'!A:A, "Phase 1: Full-Stack Web Development")</f>
        <v/>
      </c>
      <c r="E4" s="11">
        <f>COUNTIFS('Practical Test Matrix'!A:A, "Phase 1: Full-Stack Web Development", 'Practical Test Matrix'!G:G, "Passed") &amp; " / " &amp; COUNTIF('Practical Test Matrix'!A:A, "Phase 1: Full-Stack Web Development")</f>
        <v/>
      </c>
    </row>
    <row r="5" ht="26" customHeight="1">
      <c r="A5" s="9" t="inlineStr">
        <is>
          <t>Phase 2: Low-Level Systems Programming</t>
        </is>
      </c>
      <c r="B5" s="10" t="inlineStr">
        <is>
          <t>Custom Allocator (C) &amp; Async Event Loop (Rust)</t>
        </is>
      </c>
      <c r="C5" s="10" t="inlineStr">
        <is>
          <t>Memory Management, System Calls, epoll/kqueue</t>
        </is>
      </c>
      <c r="D5" s="11">
        <f>COUNTIF('Practical Test Matrix'!A:A, "Phase 2: Low-Level Systems Programming")</f>
        <v/>
      </c>
      <c r="E5" s="11">
        <f>COUNTIFS('Practical Test Matrix'!A:A, "Phase 2: Low-Level Systems Programming", 'Practical Test Matrix'!G:G, "Passed") &amp; " / " &amp; COUNTIF('Practical Test Matrix'!A:A, "Phase 2: Low-Level Systems Programming")</f>
        <v/>
      </c>
    </row>
    <row r="6" ht="26" customHeight="1">
      <c r="A6" s="9" t="inlineStr">
        <is>
          <t>Phase 3: Architecture &amp; System Design</t>
        </is>
      </c>
      <c r="B6" s="10" t="inlineStr">
        <is>
          <t>Distributed Rate Limiter &amp; Message Broker</t>
        </is>
      </c>
      <c r="C6" s="10" t="inlineStr">
        <is>
          <t>System Scalability, Redis, Pub/Sub, gRPC</t>
        </is>
      </c>
      <c r="D6" s="11">
        <f>COUNTIF('Practical Test Matrix'!A:A, "Phase 3: Architecture &amp; System Design")</f>
        <v/>
      </c>
      <c r="E6" s="11">
        <f>COUNTIFS('Practical Test Matrix'!A:A, "Phase 3: Architecture &amp; System Design", 'Practical Test Matrix'!G:G, "Passed") &amp; " / " &amp; COUNTIF('Practical Test Matrix'!A:A, "Phase 3: Architecture &amp; System Design")</f>
        <v/>
      </c>
    </row>
    <row r="7" ht="26" customHeight="1">
      <c r="A7" s="9" t="inlineStr">
        <is>
          <t>Phase 4: Applied AI &amp; Machine Learning Infrastructure</t>
        </is>
      </c>
      <c r="B7" s="10" t="inlineStr">
        <is>
          <t>Custom RAG Engine &amp; Model Serving Pipeline</t>
        </is>
      </c>
      <c r="C7" s="10" t="inlineStr">
        <is>
          <t>PyTorch, Quantization, Embeddings, vLLM</t>
        </is>
      </c>
      <c r="D7" s="11">
        <f>COUNTIF('Practical Test Matrix'!A:A, "Phase 4: Applied AI &amp; Machine Learning Infrastructure")</f>
        <v/>
      </c>
      <c r="E7" s="11">
        <f>COUNTIFS('Practical Test Matrix'!A:A, "Phase 4: Applied AI &amp; Machine Learning Infrastructure", 'Practical Test Matrix'!G:G, "Passed") &amp; " / " &amp; COUNTIF('Practical Test Matrix'!A:A, "Phase 4: Applied AI &amp; Machine Learning Infrastructure")</f>
        <v/>
      </c>
    </row>
    <row r="8" ht="26" customHeight="1">
      <c r="A8" s="9" t="inlineStr">
        <is>
          <t>Phase 5: Competitive Algorithms &amp; Advanced Math</t>
        </is>
      </c>
      <c r="B8" s="10" t="inlineStr">
        <is>
          <t>HNSW Vector Index from Scratch</t>
        </is>
      </c>
      <c r="C8" s="10" t="inlineStr">
        <is>
          <t>Graph Search, SIMD Vectorization, Algorithmic Bounds</t>
        </is>
      </c>
      <c r="D8" s="11">
        <f>COUNTIF('Practical Test Matrix'!A:A, "Phase 5: Competitive Algorithms &amp; Advanced Math")</f>
        <v/>
      </c>
      <c r="E8" s="11">
        <f>COUNTIFS('Practical Test Matrix'!A:A, "Phase 5: Competitive Algorithms &amp; Advanced Math", 'Practical Test Matrix'!G:G, "Passed") &amp; " / " &amp; COUNTIF('Practical Test Matrix'!A:A, "Phase 5: Competitive Algorithms &amp; Advanced Math")</f>
        <v/>
      </c>
    </row>
    <row r="9" ht="26" customHeight="1">
      <c r="A9" s="9" t="inlineStr">
        <is>
          <t>Phase 6: Reverse Engineering &amp; Cybersecurity</t>
        </is>
      </c>
      <c r="B9" s="10" t="inlineStr">
        <is>
          <t>Crackme Challenge &amp; ROP Payload Script</t>
        </is>
      </c>
      <c r="C9" s="10" t="inlineStr">
        <is>
          <t>x86-64 Assembly, Ghidra, ROP Chains, Exploits</t>
        </is>
      </c>
      <c r="D9" s="11">
        <f>COUNTIF('Practical Test Matrix'!A:A, "Phase 6: Reverse Engineering &amp; Cybersecurity")</f>
        <v/>
      </c>
      <c r="E9" s="11">
        <f>COUNTIFS('Practical Test Matrix'!A:A, "Phase 6: Reverse Engineering &amp; Cybersecurity", 'Practical Test Matrix'!G:G, "Passed") &amp; " / " &amp; COUNTIF('Practical Test Matrix'!A:A, "Phase 6: Reverse Engineering &amp; Cybersecurity")</f>
        <v/>
      </c>
    </row>
    <row r="10" ht="26" customHeight="1">
      <c r="A10" s="9" t="inlineStr">
        <is>
          <t>Phase 7: OS Kernel Internals &amp; Deep CS Research</t>
        </is>
      </c>
      <c r="B10" s="10" t="inlineStr">
        <is>
          <t>Linux Kernel Module &amp; Custom CUDA Kernel</t>
        </is>
      </c>
      <c r="C10" s="10" t="inlineStr">
        <is>
          <t>Ring 0 Hooking, eBPF, GPU Shared Memory Tiling</t>
        </is>
      </c>
      <c r="D10" s="11">
        <f>COUNTIF('Practical Test Matrix'!A:A, "Phase 7: OS Kernel Internals &amp; Deep CS Research")</f>
        <v/>
      </c>
      <c r="E10" s="11">
        <f>COUNTIFS('Practical Test Matrix'!A:A, "Phase 7: OS Kernel Internals &amp; Deep CS Research", 'Practical Test Matrix'!G:G, "Passed") &amp; " / " &amp; COUNTIF('Practical Test Matrix'!A:A, "Phase 7: OS Kernel Internals &amp; Deep CS Research")</f>
        <v/>
      </c>
    </row>
    <row r="11" ht="26" customHeight="1">
      <c r="A11" s="9" t="inlineStr">
        <is>
          <t>Phase 8: Hardware, Silicon &amp; Chip Design (ASIC/FPGA)</t>
        </is>
      </c>
      <c r="B11" s="10" t="inlineStr">
        <is>
          <t>5-Stage Pipelined RV32I RISC-V CPU Core</t>
        </is>
      </c>
      <c r="C11" s="10" t="inlineStr">
        <is>
          <t>Verilog/SystemVerilog, Pipeline Hazards, Synthesis</t>
        </is>
      </c>
      <c r="D11" s="11">
        <f>COUNTIF('Practical Test Matrix'!A:A, "Phase 8: Hardware, Silicon &amp; Chip Design (ASIC/FPGA)")</f>
        <v/>
      </c>
      <c r="E11" s="11">
        <f>COUNTIFS('Practical Test Matrix'!A:A, "Phase 8: Hardware, Silicon &amp; Chip Design (ASIC/FPGA)", 'Practical Test Matrix'!G:G, "Passed") &amp; " / " &amp; COUNTIF('Practical Test Matrix'!A:A, "Phase 8: Hardware, Silicon &amp; Chip Design (ASIC/FPGA)")</f>
        <v/>
      </c>
    </row>
    <row r="12" ht="26" customHeight="1">
      <c r="A12" s="9" t="inlineStr">
        <is>
          <t>Phase 9: Quantum Computing &amp; Quantum Information</t>
        </is>
      </c>
      <c r="B12" s="10" t="inlineStr">
        <is>
          <t>Variational Quantum Eigensolver (VQE)</t>
        </is>
      </c>
      <c r="C12" s="10" t="inlineStr">
        <is>
          <t>Quantum Circuits, Qiskit, Ansatz, Hamiltonian Mapping</t>
        </is>
      </c>
      <c r="D12" s="11">
        <f>COUNTIF('Practical Test Matrix'!A:A, "Phase 9: Quantum Computing &amp; Quantum Information")</f>
        <v/>
      </c>
      <c r="E12" s="11">
        <f>COUNTIFS('Practical Test Matrix'!A:A, "Phase 9: Quantum Computing &amp; Quantum Information", 'Practical Test Matrix'!G:G, "Passed") &amp; " / " &amp; COUNTIF('Practical Test Matrix'!A:A, "Phase 9: Quantum Computing &amp; Quantum Information")</f>
        <v/>
      </c>
    </row>
    <row r="13" ht="26" customHeight="1">
      <c r="A13" s="9" t="inlineStr">
        <is>
          <t>Phase 10: Robotics, Embodied AI &amp; Physical Control</t>
        </is>
      </c>
      <c r="B13" s="10" t="inlineStr">
        <is>
          <t>Autonomous SLAM &amp; Navigation Robot</t>
        </is>
      </c>
      <c r="C13" s="10" t="inlineStr">
        <is>
          <t>ROS 2, Control Theory (MPC), SLAM, Gazebo/Isaac</t>
        </is>
      </c>
      <c r="D13" s="11">
        <f>COUNTIF('Practical Test Matrix'!A:A, "Phase 10: Robotics, Embodied AI &amp; Physical Control")</f>
        <v/>
      </c>
      <c r="E13" s="11">
        <f>COUNTIFS('Practical Test Matrix'!A:A, "Phase 10: Robotics, Embodied AI &amp; Physical Control", 'Practical Test Matrix'!G:G, "Passed") &amp; " / " &amp; COUNTIF('Practical Test Matrix'!A:A, "Phase 10: Robotics, Embodied AI &amp; Physical Control")</f>
        <v/>
      </c>
    </row>
    <row r="14" ht="26" customHeight="1">
      <c r="A14" s="9" t="inlineStr">
        <is>
          <t>Phase 11: Bio-Informatics, BCIs &amp; Bio-Computing</t>
        </is>
      </c>
      <c r="B14" s="10" t="inlineStr">
        <is>
          <t>EEG Signal Classifier &amp; DNA Aligner</t>
        </is>
      </c>
      <c r="C14" s="10" t="inlineStr">
        <is>
          <t>FFT, Signal Processing, BCI, Smith-Waterman</t>
        </is>
      </c>
      <c r="D14" s="11">
        <f>COUNTIF('Practical Test Matrix'!A:A, "Phase 11: Bio-Informatics, BCIs &amp; Bio-Computing")</f>
        <v/>
      </c>
      <c r="E14" s="11">
        <f>COUNTIFS('Practical Test Matrix'!A:A, "Phase 11: Bio-Informatics, BCIs &amp; Bio-Computing", 'Practical Test Matrix'!G:G, "Passed") &amp; " / " &amp; COUNTIF('Practical Test Matrix'!A:A, "Phase 11: Bio-Informatics, BCIs &amp; Bio-Computing")</f>
        <v/>
      </c>
    </row>
    <row r="15" ht="26" customHeight="1">
      <c r="A15" s="9" t="inlineStr">
        <is>
          <t>Phase 12: Advanced Cryptography &amp; Post-Quantum</t>
        </is>
      </c>
      <c r="B15" s="10" t="inlineStr">
        <is>
          <t>zk-SNARK Circuit &amp; Kyber PQC Exchange</t>
        </is>
      </c>
      <c r="C15" s="10" t="inlineStr">
        <is>
          <t>Zero-Knowledge Proofs, Lattice PQC, Circom</t>
        </is>
      </c>
      <c r="D15" s="11">
        <f>COUNTIF('Practical Test Matrix'!A:A, "Phase 12: Advanced Cryptography &amp; Post-Quantum")</f>
        <v/>
      </c>
      <c r="E15" s="11">
        <f>COUNTIFS('Practical Test Matrix'!A:A, "Phase 12: Advanced Cryptography &amp; Post-Quantum", 'Practical Test Matrix'!G:G, "Passed") &amp; " / " &amp; COUNTIF('Practical Test Matrix'!A:A, "Phase 12: Advanced Cryptography &amp; Post-Quantum")</f>
        <v/>
      </c>
    </row>
    <row r="16" ht="26" customHeight="1">
      <c r="A16" s="9" t="inlineStr">
        <is>
          <t>Phase 13: Theoretical CS &amp; Formal Verification</t>
        </is>
      </c>
      <c r="B16" s="10" t="inlineStr">
        <is>
          <t>Formally Verified Sorting/Graph Algorithm</t>
        </is>
      </c>
      <c r="C16" s="10" t="inlineStr">
        <is>
          <t>Lean 4 / Coq Proof Verification, Formal Safety</t>
        </is>
      </c>
      <c r="D16" s="11">
        <f>COUNTIF('Practical Test Matrix'!A:A, "Phase 13: Theoretical CS &amp; Formal Verification")</f>
        <v/>
      </c>
      <c r="E16" s="11">
        <f>COUNTIFS('Practical Test Matrix'!A:A, "Phase 13: Theoretical CS &amp; Formal Verification", 'Practical Test Matrix'!G:G, "Passed") &amp; " / " &amp; COUNTIF('Practical Test Matrix'!A:A, "Phase 13: Theoretical CS &amp; Formal Verification")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2026-10-07T17:10:29Z</dcterms:created>
  <dcterms:modified xmlns:dcterms="http://purl.org/dc/terms/" xmlns:xsi="http://www.w3.org/2001/XMLSchema-instance" xsi:type="dcterms:W3CDTF">2026-10-07T17:10:29Z</dcterms:modified>
</cp:coreProperties>
</file>