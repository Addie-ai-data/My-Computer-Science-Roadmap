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ier Curriculum Log" sheetId="1" state="visible" r:id="rId1"/>
    <sheet xmlns:r="http://schemas.openxmlformats.org/officeDocument/2006/relationships" name="Frontier Roadmap Over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35" customWidth="1" min="3" max="3"/>
    <col width="65" customWidth="1" min="4" max="4"/>
    <col width="15" customWidth="1" min="5" max="5"/>
    <col width="15" customWidth="1" min="6" max="6"/>
    <col width="16" customWidth="1" min="7" max="7"/>
    <col width="30" customWidth="1" min="8" max="8"/>
  </cols>
  <sheetData>
    <row r="1" ht="28" customHeight="1">
      <c r="A1" s="1" t="inlineStr">
        <is>
          <t>Phase</t>
        </is>
      </c>
      <c r="B1" s="1" t="inlineStr">
        <is>
          <t>Module</t>
        </is>
      </c>
      <c r="C1" s="1" t="inlineStr">
        <is>
          <t>Topic / Competency</t>
        </is>
      </c>
      <c r="D1" s="1" t="inlineStr">
        <is>
          <t>Subtopics &amp; Detailed Concepts</t>
        </is>
      </c>
      <c r="E1" s="1" t="inlineStr">
        <is>
          <t>Status</t>
        </is>
      </c>
      <c r="F1" s="1" t="inlineStr">
        <is>
          <t>Target Date</t>
        </is>
      </c>
      <c r="G1" s="1" t="inlineStr">
        <is>
          <t>Completion Date</t>
        </is>
      </c>
      <c r="H1" s="1" t="inlineStr">
        <is>
          <t>Notes / Projects</t>
        </is>
      </c>
    </row>
    <row r="2">
      <c r="A2" s="2" t="inlineStr">
        <is>
          <t>Phase 8: Hardware, Silicon &amp; Chip Design (ASIC/FPGA)</t>
        </is>
      </c>
      <c r="B2" s="3" t="inlineStr">
        <is>
          <t>8.1 Digital Logic &amp; HDLs</t>
        </is>
      </c>
      <c r="C2" s="3" t="inlineStr">
        <is>
          <t>Digital Logic Design &amp; Boolean Algebra</t>
        </is>
      </c>
      <c r="D2" s="4" t="inlineStr">
        <is>
          <t>Logic gates, Karnaugh maps, combinational/sequential logic, flip-flops, registers, finite state machines (FSM)</t>
        </is>
      </c>
      <c r="E2" s="5" t="inlineStr">
        <is>
          <t>Not Started</t>
        </is>
      </c>
      <c r="F2" s="3" t="inlineStr"/>
      <c r="G2" s="3" t="inlineStr"/>
      <c r="H2" s="4" t="inlineStr"/>
    </row>
    <row r="3">
      <c r="A3" s="2" t="inlineStr">
        <is>
          <t>Phase 8: Hardware, Silicon &amp; Chip Design (ASIC/FPGA)</t>
        </is>
      </c>
      <c r="B3" s="3" t="inlineStr">
        <is>
          <t>8.1 Digital Logic &amp; HDLs</t>
        </is>
      </c>
      <c r="C3" s="3" t="inlineStr">
        <is>
          <t>Verilog &amp; SystemVerilog</t>
        </is>
      </c>
      <c r="D3" s="4" t="inlineStr">
        <is>
          <t>RTL modeling, behavioral vs structural Verilog, modules, testbenches, synthesis, clock domain crossing (CDC)</t>
        </is>
      </c>
      <c r="E3" s="5" t="inlineStr">
        <is>
          <t>Not Started</t>
        </is>
      </c>
      <c r="F3" s="3" t="inlineStr"/>
      <c r="G3" s="3" t="inlineStr"/>
      <c r="H3" s="4" t="inlineStr"/>
    </row>
    <row r="4">
      <c r="A4" s="2" t="inlineStr">
        <is>
          <t>Phase 8: Hardware, Silicon &amp; Chip Design (ASIC/FPGA)</t>
        </is>
      </c>
      <c r="B4" s="3" t="inlineStr">
        <is>
          <t>8.1 Digital Logic &amp; HDLs</t>
        </is>
      </c>
      <c r="C4" s="3" t="inlineStr">
        <is>
          <t>VHDL &amp; FPGA Synthesis</t>
        </is>
      </c>
      <c r="D4" s="4" t="inlineStr">
        <is>
          <t>VHDL entity-architecture, FPGA architecture (LUTs, CLBs, DSP blocks, BRAM), Vivado/Quartus toolchains</t>
        </is>
      </c>
      <c r="E4" s="5" t="inlineStr">
        <is>
          <t>Not Started</t>
        </is>
      </c>
      <c r="F4" s="3" t="inlineStr"/>
      <c r="G4" s="3" t="inlineStr"/>
      <c r="H4" s="4" t="inlineStr"/>
    </row>
    <row r="5">
      <c r="A5" s="2" t="inlineStr">
        <is>
          <t>Phase 8: Hardware, Silicon &amp; Chip Design (ASIC/FPGA)</t>
        </is>
      </c>
      <c r="B5" s="3" t="inlineStr">
        <is>
          <t>8.2 Microarchitecture &amp; Processors</t>
        </is>
      </c>
      <c r="C5" s="3" t="inlineStr">
        <is>
          <t>Computer Microarchitecture</t>
        </is>
      </c>
      <c r="D5" s="4" t="inlineStr">
        <is>
          <t>CPU pipeline design, hazard handling, branch prediction, out-of-order execution (Tomasulo), speculative execution</t>
        </is>
      </c>
      <c r="E5" s="5" t="inlineStr">
        <is>
          <t>Not Started</t>
        </is>
      </c>
      <c r="F5" s="3" t="inlineStr"/>
      <c r="G5" s="3" t="inlineStr"/>
      <c r="H5" s="4" t="inlineStr"/>
    </row>
    <row r="6">
      <c r="A6" s="2" t="inlineStr">
        <is>
          <t>Phase 8: Hardware, Silicon &amp; Chip Design (ASIC/FPGA)</t>
        </is>
      </c>
      <c r="B6" s="3" t="inlineStr">
        <is>
          <t>8.2 Microarchitecture &amp; Processors</t>
        </is>
      </c>
      <c r="C6" s="3" t="inlineStr">
        <is>
          <t>Memory Subsystem &amp; Buses</t>
        </is>
      </c>
      <c r="D6" s="4" t="inlineStr">
        <is>
          <t>Cache coherence (MESI/MOESI), TLB hardware, Memory Controllers (DDR4/5, HBM), Bus protocols (AXI, AHB, PCIe)</t>
        </is>
      </c>
      <c r="E6" s="5" t="inlineStr">
        <is>
          <t>Not Started</t>
        </is>
      </c>
      <c r="F6" s="3" t="inlineStr"/>
      <c r="G6" s="3" t="inlineStr"/>
      <c r="H6" s="4" t="inlineStr"/>
    </row>
    <row r="7">
      <c r="A7" s="2" t="inlineStr">
        <is>
          <t>Phase 8: Hardware, Silicon &amp; Chip Design (ASIC/FPGA)</t>
        </is>
      </c>
      <c r="B7" s="3" t="inlineStr">
        <is>
          <t>8.2 Microarchitecture &amp; Processors</t>
        </is>
      </c>
      <c r="C7" s="3" t="inlineStr">
        <is>
          <t>RISC-V Instruction Set Architecture</t>
        </is>
      </c>
      <c r="D7" s="4" t="inlineStr">
        <is>
          <t>RISC-V ISA extensions (RV64I, M, A, F, D, V vector), custom instruction implementation, open-source core design</t>
        </is>
      </c>
      <c r="E7" s="5" t="inlineStr">
        <is>
          <t>Not Started</t>
        </is>
      </c>
      <c r="F7" s="3" t="inlineStr"/>
      <c r="G7" s="3" t="inlineStr"/>
      <c r="H7" s="4" t="inlineStr"/>
    </row>
    <row r="8">
      <c r="A8" s="2" t="inlineStr">
        <is>
          <t>Phase 8: Hardware, Silicon &amp; Chip Design (ASIC/FPGA)</t>
        </is>
      </c>
      <c r="B8" s="3" t="inlineStr">
        <is>
          <t>8.3 ASIC Design &amp; Silicon Physicals</t>
        </is>
      </c>
      <c r="C8" s="3" t="inlineStr">
        <is>
          <t>ASIC Design Flow &amp; Synthesis</t>
        </is>
      </c>
      <c r="D8" s="4" t="inlineStr">
        <is>
          <t>RTL to GDSII flow, logic synthesis (Synopsys Design Compiler), static timing analysis (STA), place &amp; route (P&amp;R)</t>
        </is>
      </c>
      <c r="E8" s="5" t="inlineStr">
        <is>
          <t>Not Started</t>
        </is>
      </c>
      <c r="F8" s="3" t="inlineStr"/>
      <c r="G8" s="3" t="inlineStr"/>
      <c r="H8" s="4" t="inlineStr"/>
    </row>
    <row r="9">
      <c r="A9" s="2" t="inlineStr">
        <is>
          <t>Phase 8: Hardware, Silicon &amp; Chip Design (ASIC/FPGA)</t>
        </is>
      </c>
      <c r="B9" s="3" t="inlineStr">
        <is>
          <t>8.3 ASIC Design &amp; Silicon Physicals</t>
        </is>
      </c>
      <c r="C9" s="3" t="inlineStr">
        <is>
          <t>Custom Silicon for AI (NPU Design)</t>
        </is>
      </c>
      <c r="D9" s="4" t="inlineStr">
        <is>
          <t>Systolic arrays, MAC units, quantized hardware multipliers, on-chip SRAM layout for tensor processing</t>
        </is>
      </c>
      <c r="E9" s="5" t="inlineStr">
        <is>
          <t>Not Started</t>
        </is>
      </c>
      <c r="F9" s="3" t="inlineStr"/>
      <c r="G9" s="3" t="inlineStr"/>
      <c r="H9" s="4" t="inlineStr"/>
    </row>
    <row r="10">
      <c r="A10" s="2" t="inlineStr">
        <is>
          <t>Phase 9: Quantum Computing &amp; Quantum Information</t>
        </is>
      </c>
      <c r="B10" s="3" t="inlineStr">
        <is>
          <t>9.1 Quantum Physics Mechanics</t>
        </is>
      </c>
      <c r="C10" s="3" t="inlineStr">
        <is>
          <t>Quantum Mechanics Foundations</t>
        </is>
      </c>
      <c r="D10" s="4" t="inlineStr">
        <is>
          <t>Linear algebra in Hilbert spaces, bra-ket notation, superposition, entanglement, Pauli matrices, Bloch sphere</t>
        </is>
      </c>
      <c r="E10" s="5" t="inlineStr">
        <is>
          <t>Not Started</t>
        </is>
      </c>
      <c r="F10" s="3" t="inlineStr"/>
      <c r="G10" s="3" t="inlineStr"/>
      <c r="H10" s="4" t="inlineStr"/>
    </row>
    <row r="11">
      <c r="A11" s="2" t="inlineStr">
        <is>
          <t>Phase 9: Quantum Computing &amp; Quantum Information</t>
        </is>
      </c>
      <c r="B11" s="3" t="inlineStr">
        <is>
          <t>9.1 Quantum Physics Mechanics</t>
        </is>
      </c>
      <c r="C11" s="3" t="inlineStr">
        <is>
          <t>Quantum Gates &amp; Circuit Design</t>
        </is>
      </c>
      <c r="D11" s="4" t="inlineStr">
        <is>
          <t>Single-qubit gates (X, Y, Z, H, S, T), multi-qubit gates (CNOT, Toffoli), quantum circuit synthesis, decoherence</t>
        </is>
      </c>
      <c r="E11" s="5" t="inlineStr">
        <is>
          <t>Not Started</t>
        </is>
      </c>
      <c r="F11" s="3" t="inlineStr"/>
      <c r="G11" s="3" t="inlineStr"/>
      <c r="H11" s="4" t="inlineStr"/>
    </row>
    <row r="12">
      <c r="A12" s="2" t="inlineStr">
        <is>
          <t>Phase 9: Quantum Computing &amp; Quantum Information</t>
        </is>
      </c>
      <c r="B12" s="3" t="inlineStr">
        <is>
          <t>9.2 Quantum Algorithms</t>
        </is>
      </c>
      <c r="C12" s="3" t="inlineStr">
        <is>
          <t>Core Quantum Algorithms</t>
        </is>
      </c>
      <c r="D12" s="4" t="inlineStr">
        <is>
          <t>Shor's factoring algorithm, Grover's search algorithm, Quantum Fourier Transform (QFT), Phase Estimation</t>
        </is>
      </c>
      <c r="E12" s="5" t="inlineStr">
        <is>
          <t>Not Started</t>
        </is>
      </c>
      <c r="F12" s="3" t="inlineStr"/>
      <c r="G12" s="3" t="inlineStr"/>
      <c r="H12" s="4" t="inlineStr"/>
    </row>
    <row r="13">
      <c r="A13" s="2" t="inlineStr">
        <is>
          <t>Phase 9: Quantum Computing &amp; Quantum Information</t>
        </is>
      </c>
      <c r="B13" s="3" t="inlineStr">
        <is>
          <t>9.2 Quantum Algorithms</t>
        </is>
      </c>
      <c r="C13" s="3" t="inlineStr">
        <is>
          <t>Quantum Machine Learning &amp; VQE</t>
        </is>
      </c>
      <c r="D13" s="4" t="inlineStr">
        <is>
          <t>Variational Quantum Eigensolver (VQE), QAOA, Quantum Neural Networks (QNN), Quantum Kernel Methods</t>
        </is>
      </c>
      <c r="E13" s="5" t="inlineStr">
        <is>
          <t>Not Started</t>
        </is>
      </c>
      <c r="F13" s="3" t="inlineStr"/>
      <c r="G13" s="3" t="inlineStr"/>
      <c r="H13" s="4" t="inlineStr"/>
    </row>
    <row r="14">
      <c r="A14" s="2" t="inlineStr">
        <is>
          <t>Phase 9: Quantum Computing &amp; Quantum Information</t>
        </is>
      </c>
      <c r="B14" s="3" t="inlineStr">
        <is>
          <t>9.3 Quantum Hardware &amp; SDKs</t>
        </is>
      </c>
      <c r="C14" s="3" t="inlineStr">
        <is>
          <t>Quantum Programming Frameworks</t>
        </is>
      </c>
      <c r="D14" s="4" t="inlineStr">
        <is>
          <t>Qiskit, Pennylane, Cirq, OpenQASM, compiling quantum circuits to physical quantum backends</t>
        </is>
      </c>
      <c r="E14" s="5" t="inlineStr">
        <is>
          <t>Not Started</t>
        </is>
      </c>
      <c r="F14" s="3" t="inlineStr"/>
      <c r="G14" s="3" t="inlineStr"/>
      <c r="H14" s="4" t="inlineStr"/>
    </row>
    <row r="15">
      <c r="A15" s="2" t="inlineStr">
        <is>
          <t>Phase 9: Quantum Computing &amp; Quantum Information</t>
        </is>
      </c>
      <c r="B15" s="3" t="inlineStr">
        <is>
          <t>9.3 Quantum Hardware &amp; SDKs</t>
        </is>
      </c>
      <c r="C15" s="3" t="inlineStr">
        <is>
          <t>Quantum Error Correction &amp; Fault Tolerance</t>
        </is>
      </c>
      <c r="D15" s="4" t="inlineStr">
        <is>
          <t>Surface codes, Shor code, Steane code, fault-tolerant quantum computation, logical vs physical qubits</t>
        </is>
      </c>
      <c r="E15" s="5" t="inlineStr">
        <is>
          <t>Not Started</t>
        </is>
      </c>
      <c r="F15" s="3" t="inlineStr"/>
      <c r="G15" s="3" t="inlineStr"/>
      <c r="H15" s="4" t="inlineStr"/>
    </row>
    <row r="16">
      <c r="A16" s="2" t="inlineStr">
        <is>
          <t>Phase 10: Robotics, Embodied AI &amp; Physical Systems</t>
        </is>
      </c>
      <c r="B16" s="3" t="inlineStr">
        <is>
          <t>10.1 Kinematics &amp; Control Theory</t>
        </is>
      </c>
      <c r="C16" s="3" t="inlineStr">
        <is>
          <t>Robot Kinematics &amp; Dynamics</t>
        </is>
      </c>
      <c r="D16" s="4" t="inlineStr">
        <is>
          <t>Forward/Inverse Kinematics, Denavit-Hartenberg parameters, Jacobian matrices, Rigid body dynamics, URDF</t>
        </is>
      </c>
      <c r="E16" s="5" t="inlineStr">
        <is>
          <t>Not Started</t>
        </is>
      </c>
      <c r="F16" s="3" t="inlineStr"/>
      <c r="G16" s="3" t="inlineStr"/>
      <c r="H16" s="4" t="inlineStr"/>
    </row>
    <row r="17">
      <c r="A17" s="2" t="inlineStr">
        <is>
          <t>Phase 10: Robotics, Embodied AI &amp; Physical Systems</t>
        </is>
      </c>
      <c r="B17" s="3" t="inlineStr">
        <is>
          <t>10.1 Kinematics &amp; Control Theory</t>
        </is>
      </c>
      <c r="C17" s="3" t="inlineStr">
        <is>
          <t>Classic &amp; Modern Control Theory</t>
        </is>
      </c>
      <c r="D17" s="4" t="inlineStr">
        <is>
          <t>PID control, State-space models, Linear Quadratic Regulator (LQR), Model Predictive Control (MPC)</t>
        </is>
      </c>
      <c r="E17" s="5" t="inlineStr">
        <is>
          <t>Not Started</t>
        </is>
      </c>
      <c r="F17" s="3" t="inlineStr"/>
      <c r="G17" s="3" t="inlineStr"/>
      <c r="H17" s="4" t="inlineStr"/>
    </row>
    <row r="18">
      <c r="A18" s="2" t="inlineStr">
        <is>
          <t>Phase 10: Robotics, Embodied AI &amp; Physical Systems</t>
        </is>
      </c>
      <c r="B18" s="3" t="inlineStr">
        <is>
          <t>10.2 Spatial Perception &amp; Navigation</t>
        </is>
      </c>
      <c r="C18" s="3" t="inlineStr">
        <is>
          <t>Visual SLAM &amp; State Estimation</t>
        </is>
      </c>
      <c r="D18" s="4" t="inlineStr">
        <is>
          <t>Extended Kalman Filters (EKF), Particle Filters, Visual-Inertial Odometry (VIO), SLAM (ORB-SLAM, Cartographer)</t>
        </is>
      </c>
      <c r="E18" s="5" t="inlineStr">
        <is>
          <t>Not Started</t>
        </is>
      </c>
      <c r="F18" s="3" t="inlineStr"/>
      <c r="G18" s="3" t="inlineStr"/>
      <c r="H18" s="4" t="inlineStr"/>
    </row>
    <row r="19">
      <c r="A19" s="2" t="inlineStr">
        <is>
          <t>Phase 10: Robotics, Embodied AI &amp; Physical Systems</t>
        </is>
      </c>
      <c r="B19" s="3" t="inlineStr">
        <is>
          <t>10.2 Spatial Perception &amp; Navigation</t>
        </is>
      </c>
      <c r="C19" s="3" t="inlineStr">
        <is>
          <t>Sensor Fusion &amp; Perception</t>
        </is>
      </c>
      <c r="D19" s="4" t="inlineStr">
        <is>
          <t>LiDAR point cloud processing (PCL), Radar, Camera calibration, Sensor synchronization, spatial 3D perception</t>
        </is>
      </c>
      <c r="E19" s="5" t="inlineStr">
        <is>
          <t>Not Started</t>
        </is>
      </c>
      <c r="F19" s="3" t="inlineStr"/>
      <c r="G19" s="3" t="inlineStr"/>
      <c r="H19" s="4" t="inlineStr"/>
    </row>
    <row r="20">
      <c r="A20" s="2" t="inlineStr">
        <is>
          <t>Phase 10: Robotics, Embodied AI &amp; Physical Systems</t>
        </is>
      </c>
      <c r="B20" s="3" t="inlineStr">
        <is>
          <t>10.3 Embodied AI &amp; Physical Actuation</t>
        </is>
      </c>
      <c r="C20" s="3" t="inlineStr">
        <is>
          <t>Robot Operating System (ROS 2)</t>
        </is>
      </c>
      <c r="D20" s="4" t="inlineStr">
        <is>
          <t>ROS 2 architecture, Nodes, Topics, Services, Actions, DDS middleware, Gazebo/Isaac Sim simulation</t>
        </is>
      </c>
      <c r="E20" s="5" t="inlineStr">
        <is>
          <t>Not Started</t>
        </is>
      </c>
      <c r="F20" s="3" t="inlineStr"/>
      <c r="G20" s="3" t="inlineStr"/>
      <c r="H20" s="4" t="inlineStr"/>
    </row>
    <row r="21">
      <c r="A21" s="2" t="inlineStr">
        <is>
          <t>Phase 10: Robotics, Embodied AI &amp; Physical Systems</t>
        </is>
      </c>
      <c r="B21" s="3" t="inlineStr">
        <is>
          <t>10.3 Embodied AI &amp; Physical Actuation</t>
        </is>
      </c>
      <c r="C21" s="3" t="inlineStr">
        <is>
          <t>Sim-to-Real Transfer &amp; Reinforcement Learning</t>
        </is>
      </c>
      <c r="D21" s="4" t="inlineStr">
        <is>
          <t>Domain randomization, policy gradient methods for robotics, quadruped/humanoid locomotion, dexterous manipulation</t>
        </is>
      </c>
      <c r="E21" s="5" t="inlineStr">
        <is>
          <t>Not Started</t>
        </is>
      </c>
      <c r="F21" s="3" t="inlineStr"/>
      <c r="G21" s="3" t="inlineStr"/>
      <c r="H21" s="4" t="inlineStr"/>
    </row>
    <row r="22">
      <c r="A22" s="2" t="inlineStr">
        <is>
          <t>Phase 11: Bio-Informatics, BCIs &amp; Bio-Computing</t>
        </is>
      </c>
      <c r="B22" s="3" t="inlineStr">
        <is>
          <t>11.1 Brain-Computer Interfaces (BCI)</t>
        </is>
      </c>
      <c r="C22" s="3" t="inlineStr">
        <is>
          <t>Neuro-Signal Processing (EEG/ECoG)</t>
        </is>
      </c>
      <c r="D22" s="4" t="inlineStr">
        <is>
          <t>Signal filtering, Fast Fourier Transform (FFT), wavelet transforms, artifact removal, motor imagery classification</t>
        </is>
      </c>
      <c r="E22" s="5" t="inlineStr">
        <is>
          <t>Not Started</t>
        </is>
      </c>
      <c r="F22" s="3" t="inlineStr"/>
      <c r="G22" s="3" t="inlineStr"/>
      <c r="H22" s="4" t="inlineStr"/>
    </row>
    <row r="23">
      <c r="A23" s="2" t="inlineStr">
        <is>
          <t>Phase 11: Bio-Informatics, BCIs &amp; Bio-Computing</t>
        </is>
      </c>
      <c r="B23" s="3" t="inlineStr">
        <is>
          <t>11.1 Brain-Computer Interfaces (BCI)</t>
        </is>
      </c>
      <c r="C23" s="3" t="inlineStr">
        <is>
          <t>Spiking Neural Networks &amp; Neuromorphic</t>
        </is>
      </c>
      <c r="D23" s="4" t="inlineStr">
        <is>
          <t>Leaky Integrate-and-Fire (LIF) neurons, STDP learning rules, Intel Loihi, BrainScaleS, event-based vision cameras</t>
        </is>
      </c>
      <c r="E23" s="5" t="inlineStr">
        <is>
          <t>Not Started</t>
        </is>
      </c>
      <c r="F23" s="3" t="inlineStr"/>
      <c r="G23" s="3" t="inlineStr"/>
      <c r="H23" s="4" t="inlineStr"/>
    </row>
    <row r="24">
      <c r="A24" s="2" t="inlineStr">
        <is>
          <t>Phase 11: Bio-Informatics, BCIs &amp; Bio-Computing</t>
        </is>
      </c>
      <c r="B24" s="3" t="inlineStr">
        <is>
          <t>11.2 Bio-Informatics &amp; Genomics</t>
        </is>
      </c>
      <c r="C24" s="3" t="inlineStr">
        <is>
          <t>Genomic Sequence Analysis</t>
        </is>
      </c>
      <c r="D24" s="4" t="inlineStr">
        <is>
          <t>DNA/RNA sequence alignment (Needleman-Wunsch, Smith-Waterman, Burrows-Wheeler Transform), variant calling</t>
        </is>
      </c>
      <c r="E24" s="5" t="inlineStr">
        <is>
          <t>Not Started</t>
        </is>
      </c>
      <c r="F24" s="3" t="inlineStr"/>
      <c r="G24" s="3" t="inlineStr"/>
      <c r="H24" s="4" t="inlineStr"/>
    </row>
    <row r="25">
      <c r="A25" s="2" t="inlineStr">
        <is>
          <t>Phase 11: Bio-Informatics, BCIs &amp; Bio-Computing</t>
        </is>
      </c>
      <c r="B25" s="3" t="inlineStr">
        <is>
          <t>11.2 Bio-Informatics &amp; Genomics</t>
        </is>
      </c>
      <c r="C25" s="3" t="inlineStr">
        <is>
          <t>Protein Folding &amp; Molecular AI</t>
        </is>
      </c>
      <c r="D25" s="4" t="inlineStr">
        <is>
          <t>AlphaFold architecture, 3D molecular structure prediction, docking algorithms, AI for drug discovery</t>
        </is>
      </c>
      <c r="E25" s="5" t="inlineStr">
        <is>
          <t>Not Started</t>
        </is>
      </c>
      <c r="F25" s="3" t="inlineStr"/>
      <c r="G25" s="3" t="inlineStr"/>
      <c r="H25" s="4" t="inlineStr"/>
    </row>
    <row r="26">
      <c r="A26" s="2" t="inlineStr">
        <is>
          <t>Phase 11: Bio-Informatics, BCIs &amp; Bio-Computing</t>
        </is>
      </c>
      <c r="B26" s="3" t="inlineStr">
        <is>
          <t>11.3 Bio-Computing Paradigms</t>
        </is>
      </c>
      <c r="C26" s="3" t="inlineStr">
        <is>
          <t>DNA Data Storage &amp; Synthetic Biology</t>
        </is>
      </c>
      <c r="D26" s="4" t="inlineStr">
        <is>
          <t>Encoding digital data into nucleotide bases, error-correcting codes for DNA, synthetic gene circuits</t>
        </is>
      </c>
      <c r="E26" s="5" t="inlineStr">
        <is>
          <t>Not Started</t>
        </is>
      </c>
      <c r="F26" s="3" t="inlineStr"/>
      <c r="G26" s="3" t="inlineStr"/>
      <c r="H26" s="4" t="inlineStr"/>
    </row>
    <row r="27">
      <c r="A27" s="2" t="inlineStr">
        <is>
          <t>Phase 12: Advanced Cryptography &amp; Post-Quantum</t>
        </is>
      </c>
      <c r="B27" s="3" t="inlineStr">
        <is>
          <t>12.1 Post-Quantum Cryptography (PQC)</t>
        </is>
      </c>
      <c r="C27" s="3" t="inlineStr">
        <is>
          <t>Lattice-Based Cryptography</t>
        </is>
      </c>
      <c r="D27" s="4" t="inlineStr">
        <is>
          <t>Learning With Errors (LWE), Ring-LWE, CRYSTALS-Kyber (ML-KEM), CRYSTALS-Dilithium (ML-DSA)</t>
        </is>
      </c>
      <c r="E27" s="5" t="inlineStr">
        <is>
          <t>Not Started</t>
        </is>
      </c>
      <c r="F27" s="3" t="inlineStr"/>
      <c r="G27" s="3" t="inlineStr"/>
      <c r="H27" s="4" t="inlineStr"/>
    </row>
    <row r="28">
      <c r="A28" s="2" t="inlineStr">
        <is>
          <t>Phase 12: Advanced Cryptography &amp; Post-Quantum</t>
        </is>
      </c>
      <c r="B28" s="3" t="inlineStr">
        <is>
          <t>12.1 Post-Quantum Cryptography (PQC)</t>
        </is>
      </c>
      <c r="C28" s="3" t="inlineStr">
        <is>
          <t>Code-Based &amp; Hash-Based Cryptography</t>
        </is>
      </c>
      <c r="D28" s="4" t="inlineStr">
        <is>
          <t>McEliece cryptosystem, SPHINCS+, Stateful hash-based signatures (LMS, XMSS)</t>
        </is>
      </c>
      <c r="E28" s="5" t="inlineStr">
        <is>
          <t>Not Started</t>
        </is>
      </c>
      <c r="F28" s="3" t="inlineStr"/>
      <c r="G28" s="3" t="inlineStr"/>
      <c r="H28" s="4" t="inlineStr"/>
    </row>
    <row r="29">
      <c r="A29" s="2" t="inlineStr">
        <is>
          <t>Phase 12: Advanced Cryptography &amp; Post-Quantum</t>
        </is>
      </c>
      <c r="B29" s="3" t="inlineStr">
        <is>
          <t>12.2 Zero-Knowledge Proofs &amp; Privacy</t>
        </is>
      </c>
      <c r="C29" s="3" t="inlineStr">
        <is>
          <t>Zero-Knowledge Proofs (ZKP)</t>
        </is>
      </c>
      <c r="D29" s="4" t="inlineStr">
        <is>
          <t>Interactive vs Non-interactive ZKPs, zk-SNARKs, zk-STARKs, Groth16, Plonk, polynomial commitments (KZG)</t>
        </is>
      </c>
      <c r="E29" s="5" t="inlineStr">
        <is>
          <t>Not Started</t>
        </is>
      </c>
      <c r="F29" s="3" t="inlineStr"/>
      <c r="G29" s="3" t="inlineStr"/>
      <c r="H29" s="4" t="inlineStr"/>
    </row>
    <row r="30">
      <c r="A30" s="2" t="inlineStr">
        <is>
          <t>Phase 12: Advanced Cryptography &amp; Post-Quantum</t>
        </is>
      </c>
      <c r="B30" s="3" t="inlineStr">
        <is>
          <t>12.2 Zero-Knowledge Proofs &amp; Privacy</t>
        </is>
      </c>
      <c r="C30" s="3" t="inlineStr">
        <is>
          <t>Homomorphic Encryption &amp; MPC</t>
        </is>
      </c>
      <c r="D30" s="4" t="inlineStr">
        <is>
          <t>Fully Homomorphic Encryption (FHE - CKKS, BGV, BFV), Secure Multi-Party Computation (SMPC), garbled circuits</t>
        </is>
      </c>
      <c r="E30" s="5" t="inlineStr">
        <is>
          <t>Not Started</t>
        </is>
      </c>
      <c r="F30" s="3" t="inlineStr"/>
      <c r="G30" s="3" t="inlineStr"/>
      <c r="H30" s="4" t="inlineStr"/>
    </row>
    <row r="31">
      <c r="A31" s="2" t="inlineStr">
        <is>
          <t>Phase 13: Theoretical CS &amp; Millennium Problems</t>
        </is>
      </c>
      <c r="B31" s="3" t="inlineStr">
        <is>
          <t>13.1 Complexity Theory &amp; Limits</t>
        </is>
      </c>
      <c r="C31" s="3" t="inlineStr">
        <is>
          <t>Advanced Computational Complexity</t>
        </is>
      </c>
      <c r="D31" s="4" t="inlineStr">
        <is>
          <t>P vs NP, NP-Completeness reductions, PSPACE, EXPTIME, BQP (Quantum complexity class), Polynomial Hierarchy</t>
        </is>
      </c>
      <c r="E31" s="5" t="inlineStr">
        <is>
          <t>Not Started</t>
        </is>
      </c>
      <c r="F31" s="3" t="inlineStr"/>
      <c r="G31" s="3" t="inlineStr"/>
      <c r="H31" s="4" t="inlineStr"/>
    </row>
    <row r="32">
      <c r="A32" s="2" t="inlineStr">
        <is>
          <t>Phase 13: Theoretical CS &amp; Millennium Problems</t>
        </is>
      </c>
      <c r="B32" s="3" t="inlineStr">
        <is>
          <t>13.1 Complexity Theory &amp; Limits</t>
        </is>
      </c>
      <c r="C32" s="3" t="inlineStr">
        <is>
          <t>Formal Methods &amp; Proof Verification</t>
        </is>
      </c>
      <c r="D32" s="4" t="inlineStr">
        <is>
          <t>Coq, Lean 4 proof assistant, Interactive Theorem Proving, formal verification of critical software systems</t>
        </is>
      </c>
      <c r="E32" s="5" t="inlineStr">
        <is>
          <t>Not Started</t>
        </is>
      </c>
      <c r="F32" s="3" t="inlineStr"/>
      <c r="G32" s="3" t="inlineStr"/>
      <c r="H32" s="4" t="inlineStr"/>
    </row>
    <row r="33">
      <c r="A33" s="2" t="inlineStr">
        <is>
          <t>Phase 13: Theoretical CS &amp; Millennium Problems</t>
        </is>
      </c>
      <c r="B33" s="3" t="inlineStr">
        <is>
          <t>13.2 Fundamental AI Theory</t>
        </is>
      </c>
      <c r="C33" s="3" t="inlineStr">
        <is>
          <t>Statistical Learning Theory &amp; Generalization</t>
        </is>
      </c>
      <c r="D33" s="4" t="inlineStr">
        <is>
          <t>VC-Dimension, Rademacher complexity, PAC learning framework, Overparameterization, Neural Tangent Kernel (NTK)</t>
        </is>
      </c>
      <c r="E33" s="5" t="inlineStr">
        <is>
          <t>Not Started</t>
        </is>
      </c>
      <c r="F33" s="3" t="inlineStr"/>
      <c r="G33" s="3" t="inlineStr"/>
      <c r="H33" s="4" t="inlineStr"/>
    </row>
  </sheetData>
  <dataValidations count="1">
    <dataValidation sqref="E2:E33" showDropDown="0" showInputMessage="0" showErrorMessage="0" allowBlank="1" type="list">
      <formula1>"Not Started,In Progress,Completed,On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42" customWidth="1" min="3" max="3"/>
    <col width="15" customWidth="1" min="4" max="4"/>
    <col width="18" customWidth="1" min="5" max="5"/>
  </cols>
  <sheetData>
    <row r="1" ht="35" customHeight="1">
      <c r="A1" s="6" t="inlineStr">
        <is>
          <t>THE ULTIMATE COMPUTATIONAL FRONTIER ROADMAP (PHASES 8 - 13)</t>
        </is>
      </c>
    </row>
    <row r="3" ht="25" customHeight="1">
      <c r="A3" s="7" t="inlineStr">
        <is>
          <t>Phase Name</t>
        </is>
      </c>
      <c r="B3" s="7" t="inlineStr">
        <is>
          <t>Primary Objective &amp; Domain Focus</t>
        </is>
      </c>
      <c r="C3" s="7" t="inlineStr">
        <is>
          <t>Key Tech Stack &amp; Tools</t>
        </is>
      </c>
      <c r="D3" s="7" t="inlineStr">
        <is>
          <t>Total Topics</t>
        </is>
      </c>
      <c r="E3" s="7" t="inlineStr">
        <is>
          <t>Status Progress</t>
        </is>
      </c>
    </row>
    <row r="4" ht="26" customHeight="1">
      <c r="A4" s="8" t="inlineStr">
        <is>
          <t>Phase 8: Hardware, Silicon &amp; Chip Design (ASIC/FPGA)</t>
        </is>
      </c>
      <c r="B4" s="9" t="inlineStr">
        <is>
          <t>Transition from software to physical silicon. Design digital logic, RISC-V cores, and custom NPU accelerators.</t>
        </is>
      </c>
      <c r="C4" s="9" t="inlineStr">
        <is>
          <t>Verilog, SystemVerilog, VHDL, Vivado, RISC-V, Synopsys, ASIC Flow</t>
        </is>
      </c>
      <c r="D4" s="10">
        <f>COUNTIF('Frontier Curriculum Log'!A:A, "Phase 8: Hardware, Silicon &amp; Chip Design (ASIC/FPGA)")</f>
        <v/>
      </c>
      <c r="E4" s="10">
        <f>COUNTIFS('Frontier Curriculum Log'!A:A, "Phase 8: Hardware, Silicon &amp; Chip Design (ASIC/FPGA)", 'Frontier Curriculum Log'!E:E, "Completed") &amp; " / " &amp; COUNTIF('Frontier Curriculum Log'!A:A, "Phase 8: Hardware, Silicon &amp; Chip Design (ASIC/FPGA)")</f>
        <v/>
      </c>
    </row>
    <row r="5" ht="26" customHeight="1">
      <c r="A5" s="8" t="inlineStr">
        <is>
          <t>Phase 9: Quantum Computing &amp; Quantum Information</t>
        </is>
      </c>
      <c r="B5" s="9" t="inlineStr">
        <is>
          <t>Master non-classical computation, quantum algorithms, fault-tolerant quantum error correction, and QNNs.</t>
        </is>
      </c>
      <c r="C5" s="9" t="inlineStr">
        <is>
          <t>Qiskit, Cirq, PennyLane, OpenQASM, Quantum Mechanics, Hilbert Spaces</t>
        </is>
      </c>
      <c r="D5" s="10">
        <f>COUNTIF('Frontier Curriculum Log'!A:A, "Phase 9: Quantum Computing &amp; Quantum Information")</f>
        <v/>
      </c>
      <c r="E5" s="10">
        <f>COUNTIFS('Frontier Curriculum Log'!A:A, "Phase 9: Quantum Computing &amp; Quantum Information", 'Frontier Curriculum Log'!E:E, "Completed") &amp; " / " &amp; COUNTIF('Frontier Curriculum Log'!A:A, "Phase 9: Quantum Computing &amp; Quantum Information")</f>
        <v/>
      </c>
    </row>
    <row r="6" ht="26" customHeight="1">
      <c r="A6" s="8" t="inlineStr">
        <is>
          <t>Phase 10: Robotics, Embodied AI &amp; Physical Systems</t>
        </is>
      </c>
      <c r="B6" s="9" t="inlineStr">
        <is>
          <t>Bring AI off screens into physical actuators, autonomous navigation, state estimation, and sim-to-real transfer.</t>
        </is>
      </c>
      <c r="C6" s="9" t="inlineStr">
        <is>
          <t>ROS 2, Isaac Sim, Gazebo, Control Theory (MPC/LQR), SLAM, LiDAR, URDF</t>
        </is>
      </c>
      <c r="D6" s="10">
        <f>COUNTIF('Frontier Curriculum Log'!A:A, "Phase 10: Robotics, Embodied AI &amp; Physical Systems")</f>
        <v/>
      </c>
      <c r="E6" s="10">
        <f>COUNTIFS('Frontier Curriculum Log'!A:A, "Phase 10: Robotics, Embodied AI &amp; Physical Systems", 'Frontier Curriculum Log'!E:E, "Completed") &amp; " / " &amp; COUNTIF('Frontier Curriculum Log'!A:A, "Phase 10: Robotics, Embodied AI &amp; Physical Systems")</f>
        <v/>
      </c>
    </row>
    <row r="7" ht="26" customHeight="1">
      <c r="A7" s="8" t="inlineStr">
        <is>
          <t>Phase 11: Bio-Informatics, BCIs &amp; Bio-Computing</t>
        </is>
      </c>
      <c r="B7" s="9" t="inlineStr">
        <is>
          <t>Bridge computing with neural interfaces, brain signals, molecular AI, protein folding, and DNA data storage.</t>
        </is>
      </c>
      <c r="C7" s="9" t="inlineStr">
        <is>
          <t>MNE-Python, Neuromorphic (Loihi), AlphaFold, EEG/ECoG, Bio-Python</t>
        </is>
      </c>
      <c r="D7" s="10">
        <f>COUNTIF('Frontier Curriculum Log'!A:A, "Phase 11: Bio-Informatics, BCIs &amp; Bio-Computing")</f>
        <v/>
      </c>
      <c r="E7" s="10">
        <f>COUNTIFS('Frontier Curriculum Log'!A:A, "Phase 11: Bio-Informatics, BCIs &amp; Bio-Computing", 'Frontier Curriculum Log'!E:E, "Completed") &amp; " / " &amp; COUNTIF('Frontier Curriculum Log'!A:A, "Phase 11: Bio-Informatics, BCIs &amp; Bio-Computing")</f>
        <v/>
      </c>
    </row>
    <row r="8" ht="26" customHeight="1">
      <c r="A8" s="8" t="inlineStr">
        <is>
          <t>Phase 12: Advanced Cryptography &amp; Post-Quantum</t>
        </is>
      </c>
      <c r="B8" s="9" t="inlineStr">
        <is>
          <t>Build quantum-resistant security, zero-knowledge proofs, and fully homomorphic computation.</t>
        </is>
      </c>
      <c r="C8" s="9" t="inlineStr">
        <is>
          <t>Lattice PQC, Kyber/Dilithium, zk-SNARKs, zk-STARKs, FHE (CKKS), Plonk</t>
        </is>
      </c>
      <c r="D8" s="10">
        <f>COUNTIF('Frontier Curriculum Log'!A:A, "Phase 12: Advanced Cryptography &amp; Post-Quantum")</f>
        <v/>
      </c>
      <c r="E8" s="10">
        <f>COUNTIFS('Frontier Curriculum Log'!A:A, "Phase 12: Advanced Cryptography &amp; Post-Quantum", 'Frontier Curriculum Log'!E:E, "Completed") &amp; " / " &amp; COUNTIF('Frontier Curriculum Log'!A:A, "Phase 12: Advanced Cryptography &amp; Post-Quantum")</f>
        <v/>
      </c>
    </row>
    <row r="9" ht="26" customHeight="1">
      <c r="A9" s="8" t="inlineStr">
        <is>
          <t>Phase 13: Theoretical CS &amp; Millennium Problems</t>
        </is>
      </c>
      <c r="B9" s="9" t="inlineStr">
        <is>
          <t>Explore the mathematical limits of computation, formal software proofs, and statistical learning theory.</t>
        </is>
      </c>
      <c r="C9" s="9" t="inlineStr">
        <is>
          <t>Coq, Lean 4, Complexity Classes (P vs NP, BQP), PAC Learning, NTK</t>
        </is>
      </c>
      <c r="D9" s="10">
        <f>COUNTIF('Frontier Curriculum Log'!A:A, "Phase 13: Theoretical CS &amp; Millennium Problems")</f>
        <v/>
      </c>
      <c r="E9" s="10">
        <f>COUNTIFS('Frontier Curriculum Log'!A:A, "Phase 13: Theoretical CS &amp; Millennium Problems", 'Frontier Curriculum Log'!E:E, "Completed") &amp; " / " &amp; COUNTIF('Frontier Curriculum Log'!A:A, "Phase 13: Theoretical CS &amp; Millennium Problems")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2026-10-07T17:03:40Z</dcterms:created>
  <dcterms:modified xmlns:dcterms="http://purl.org/dc/terms/" xmlns:xsi="http://www.w3.org/2001/XMLSchema-instance" xsi:type="dcterms:W3CDTF">2026-10-07T17:03:40Z</dcterms:modified>
</cp:coreProperties>
</file>